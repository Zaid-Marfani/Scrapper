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0EF1E368-15F1-4200-A4B0-CB3219DCD9BE}" xr6:coauthVersionLast="47" xr6:coauthVersionMax="47" xr10:uidLastSave="{00000000-0000-0000-0000-000000000000}"/>
  <bookViews>
    <workbookView xWindow="-120" yWindow="-120" windowWidth="29040" windowHeight="15720" activeTab="2" xr2:uid="{194701B8-D3D9-4ED5-9154-204D66C0D187}"/>
  </bookViews>
  <sheets>
    <sheet name="Dashboard" sheetId="19" r:id="rId1"/>
    <sheet name="Extra" sheetId="9" r:id="rId2"/>
    <sheet name="Main Purchase List" sheetId="30" r:id="rId3"/>
    <sheet name="BL Tracking List" sheetId="33" r:id="rId4"/>
    <sheet name="Shipping Line List" sheetId="35" r:id="rId5"/>
    <sheet name="Settings" sheetId="34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3" hidden="1">'BL Tracking List'!$A$1:$L$2</definedName>
    <definedName name="ExternalData_1" localSheetId="4" hidden="1">'Shipping Line List'!$A$1:$G$7</definedName>
    <definedName name="RESULT_PATH">Settings!$B$2</definedName>
    <definedName name="SHIPPING_PATH">Settings!$B$3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7" i="30"/>
  <c r="O18" i="30"/>
  <c r="O19" i="30"/>
  <c r="O20" i="30"/>
  <c r="O21" i="30"/>
  <c r="O22" i="30"/>
  <c r="O23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J6" i="30" l="1"/>
  <c r="J9" i="30"/>
  <c r="J10" i="30"/>
  <c r="J14" i="30"/>
  <c r="J5" i="30"/>
  <c r="J7" i="30"/>
  <c r="J8" i="30"/>
  <c r="J11" i="30"/>
  <c r="J12" i="30"/>
  <c r="J13" i="30"/>
  <c r="J15" i="30"/>
  <c r="J23" i="30"/>
  <c r="J16" i="30"/>
  <c r="J17" i="30"/>
  <c r="J19" i="30"/>
  <c r="J20" i="30"/>
  <c r="J21" i="30"/>
  <c r="J22" i="30"/>
  <c r="J24" i="30"/>
  <c r="J18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AD5" i="30" l="1"/>
  <c r="AF5" i="30" s="1"/>
  <c r="AD7" i="30"/>
  <c r="AF7" i="30" s="1"/>
  <c r="M6" i="30"/>
  <c r="AD8" i="30"/>
  <c r="AF8" i="30" s="1"/>
  <c r="AD9" i="30"/>
  <c r="AF9" i="30" s="1"/>
  <c r="M11" i="30"/>
  <c r="M12" i="30"/>
  <c r="M13" i="30"/>
  <c r="AD10" i="30"/>
  <c r="AF10" i="30" s="1"/>
  <c r="M14" i="30"/>
  <c r="M15" i="30"/>
  <c r="AD23" i="30"/>
  <c r="AF23" i="30" s="1"/>
  <c r="AD16" i="30"/>
  <c r="AF16" i="30" s="1"/>
  <c r="M17" i="30"/>
  <c r="M19" i="30"/>
  <c r="M20" i="30"/>
  <c r="AD21" i="30"/>
  <c r="AF21" i="30" s="1"/>
  <c r="M22" i="30"/>
  <c r="M24" i="30"/>
  <c r="AD18" i="30"/>
  <c r="AF18" i="30" s="1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U7" i="30"/>
  <c r="U6" i="30"/>
  <c r="U8" i="30"/>
  <c r="U9" i="30"/>
  <c r="U11" i="30"/>
  <c r="U12" i="30"/>
  <c r="U13" i="30"/>
  <c r="U10" i="30"/>
  <c r="U14" i="30"/>
  <c r="U15" i="30"/>
  <c r="U23" i="30"/>
  <c r="U16" i="30"/>
  <c r="U17" i="30"/>
  <c r="U19" i="30"/>
  <c r="U20" i="30"/>
  <c r="U21" i="30"/>
  <c r="U22" i="30"/>
  <c r="U24" i="30"/>
  <c r="V24" i="30" s="1"/>
  <c r="U18" i="30"/>
  <c r="U25" i="30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U40" i="30"/>
  <c r="V40" i="30" s="1"/>
  <c r="V25" i="30"/>
  <c r="U5" i="30"/>
  <c r="L5" i="30"/>
  <c r="L7" i="30"/>
  <c r="L6" i="30"/>
  <c r="L8" i="30"/>
  <c r="L9" i="30"/>
  <c r="L11" i="30"/>
  <c r="L12" i="30"/>
  <c r="L13" i="30"/>
  <c r="L10" i="30"/>
  <c r="L14" i="30"/>
  <c r="L15" i="30"/>
  <c r="L23" i="30"/>
  <c r="L16" i="30"/>
  <c r="L17" i="30"/>
  <c r="L19" i="30"/>
  <c r="L20" i="30"/>
  <c r="L21" i="30"/>
  <c r="L22" i="30"/>
  <c r="L24" i="30"/>
  <c r="L18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AG7" i="30" a="1"/>
  <c r="AG7" i="30" s="1"/>
  <c r="AG6" i="30" a="1"/>
  <c r="AG6" i="30" s="1"/>
  <c r="AG8" i="30" a="1"/>
  <c r="AG8" i="30" s="1"/>
  <c r="AG9" i="30" a="1"/>
  <c r="AG9" i="30" s="1"/>
  <c r="AG11" i="30" a="1"/>
  <c r="AG11" i="30" s="1"/>
  <c r="AG12" i="30" a="1"/>
  <c r="AG12" i="30" s="1"/>
  <c r="AG13" i="30" a="1"/>
  <c r="AG13" i="30" s="1"/>
  <c r="AG10" i="30" a="1"/>
  <c r="AG10" i="30" s="1"/>
  <c r="AG14" i="30" a="1"/>
  <c r="AG14" i="30" s="1"/>
  <c r="AG15" i="30" a="1"/>
  <c r="AG15" i="30" s="1"/>
  <c r="AG23" i="30" a="1"/>
  <c r="AG23" i="30" s="1"/>
  <c r="AG16" i="30" a="1"/>
  <c r="AG16" i="30" s="1"/>
  <c r="AG17" i="30" a="1"/>
  <c r="AG17" i="30" s="1"/>
  <c r="AG19" i="30" a="1"/>
  <c r="AG19" i="30" s="1"/>
  <c r="AG20" i="30" a="1"/>
  <c r="AG20" i="30" s="1"/>
  <c r="AG21" i="30" a="1"/>
  <c r="AG21" i="30" s="1"/>
  <c r="AG22" i="30" a="1"/>
  <c r="AG22" i="30" s="1"/>
  <c r="AG24" i="30" a="1"/>
  <c r="AG24" i="30" s="1"/>
  <c r="AG18" i="30" a="1"/>
  <c r="AG18" i="30" s="1"/>
  <c r="AG5" i="30" a="1"/>
  <c r="AG5" i="30" s="1"/>
  <c r="AE7" i="30"/>
  <c r="AE6" i="30"/>
  <c r="AE8" i="30"/>
  <c r="AE9" i="30"/>
  <c r="AE11" i="30"/>
  <c r="AE12" i="30"/>
  <c r="AE13" i="30"/>
  <c r="AE10" i="30"/>
  <c r="AE14" i="30"/>
  <c r="AE15" i="30"/>
  <c r="AE23" i="30"/>
  <c r="AE16" i="30"/>
  <c r="AE17" i="30"/>
  <c r="AE19" i="30"/>
  <c r="AE20" i="30"/>
  <c r="AE21" i="30"/>
  <c r="AE22" i="30"/>
  <c r="AE24" i="30"/>
  <c r="AE18" i="30"/>
  <c r="AE5" i="30"/>
  <c r="N7" i="30"/>
  <c r="V7" i="30" s="1"/>
  <c r="N6" i="30"/>
  <c r="N8" i="30"/>
  <c r="N9" i="30"/>
  <c r="N11" i="30"/>
  <c r="N12" i="30"/>
  <c r="V12" i="30" s="1"/>
  <c r="N13" i="30"/>
  <c r="N10" i="30"/>
  <c r="N14" i="30"/>
  <c r="N15" i="30"/>
  <c r="N23" i="30"/>
  <c r="N16" i="30"/>
  <c r="N17" i="30"/>
  <c r="N19" i="30"/>
  <c r="N20" i="30"/>
  <c r="N21" i="30"/>
  <c r="N22" i="30"/>
  <c r="N24" i="30"/>
  <c r="N18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5" i="30"/>
  <c r="AD14" i="30"/>
  <c r="AF14" i="30" s="1"/>
  <c r="K7" i="30"/>
  <c r="K6" i="30"/>
  <c r="K8" i="30"/>
  <c r="K9" i="30"/>
  <c r="K11" i="30"/>
  <c r="K12" i="30"/>
  <c r="K13" i="30"/>
  <c r="K10" i="30"/>
  <c r="K14" i="30"/>
  <c r="K15" i="30"/>
  <c r="K23" i="30"/>
  <c r="K16" i="30"/>
  <c r="K17" i="30"/>
  <c r="K19" i="30"/>
  <c r="K20" i="30"/>
  <c r="K21" i="30"/>
  <c r="K22" i="30"/>
  <c r="K24" i="30"/>
  <c r="K18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5" i="30"/>
  <c r="V18" i="30" l="1"/>
  <c r="AD17" i="30"/>
  <c r="AF17" i="30" s="1"/>
  <c r="AD11" i="30"/>
  <c r="AF11" i="30" s="1"/>
  <c r="AD15" i="30"/>
  <c r="AF15" i="30" s="1"/>
  <c r="V23" i="30"/>
  <c r="V8" i="30"/>
  <c r="V20" i="30"/>
  <c r="V13" i="30"/>
  <c r="V15" i="30"/>
  <c r="V6" i="30"/>
  <c r="V22" i="30"/>
  <c r="V14" i="30"/>
  <c r="M7" i="30"/>
  <c r="V21" i="30"/>
  <c r="V10" i="30"/>
  <c r="V5" i="30"/>
  <c r="V19" i="30"/>
  <c r="M21" i="30"/>
  <c r="V17" i="30"/>
  <c r="V11" i="30"/>
  <c r="V16" i="30"/>
  <c r="V9" i="30"/>
  <c r="AD6" i="30"/>
  <c r="AF6" i="30" s="1"/>
  <c r="M10" i="30"/>
  <c r="AD24" i="30"/>
  <c r="AF24" i="30" s="1"/>
  <c r="AD20" i="30"/>
  <c r="AF20" i="30" s="1"/>
  <c r="AD22" i="30"/>
  <c r="AF22" i="30" s="1"/>
  <c r="AD13" i="30"/>
  <c r="AF13" i="30" s="1"/>
  <c r="M5" i="30"/>
  <c r="M16" i="30"/>
  <c r="M9" i="30"/>
  <c r="M18" i="30"/>
  <c r="M23" i="30"/>
  <c r="M8" i="30"/>
  <c r="AD19" i="30"/>
  <c r="AF19" i="30" s="1"/>
  <c r="AD12" i="30"/>
  <c r="AF12" i="30" s="1"/>
  <c r="AH20" i="30"/>
  <c r="AH13" i="30"/>
  <c r="AH19" i="30"/>
  <c r="AH12" i="30"/>
  <c r="AH7" i="30"/>
  <c r="AH21" i="30"/>
  <c r="AH10" i="30"/>
  <c r="AH18" i="30"/>
  <c r="AH23" i="30"/>
  <c r="AH8" i="30"/>
  <c r="AH16" i="30"/>
  <c r="AH9" i="30"/>
  <c r="AH22" i="30"/>
  <c r="AH14" i="30"/>
  <c r="AH17" i="30"/>
  <c r="AH24" i="30"/>
  <c r="AH15" i="30"/>
  <c r="AH6" i="30"/>
  <c r="AH11" i="30"/>
  <c r="AH5" i="30"/>
  <c r="G4" i="9" s="1" a="1"/>
  <c r="G4" i="9" s="1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AH40" i="30"/>
  <c r="I41" i="30"/>
  <c r="I1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AG40" i="30" a="1"/>
  <c r="AG40" i="30" s="1"/>
  <c r="H72" i="9" l="1" a="1"/>
  <c r="H72" i="9" s="1"/>
  <c r="AH41" i="30"/>
  <c r="K1" i="30" s="1"/>
  <c r="L41" i="30"/>
  <c r="P34" i="30"/>
  <c r="P26" i="30"/>
  <c r="P25" i="30"/>
  <c r="P33" i="30"/>
  <c r="P40" i="30"/>
  <c r="P31" i="30"/>
  <c r="P30" i="30"/>
  <c r="P32" i="30"/>
  <c r="P39" i="30"/>
  <c r="P38" i="30"/>
  <c r="P29" i="30"/>
  <c r="P37" i="30"/>
  <c r="P28" i="30"/>
  <c r="P36" i="30"/>
  <c r="P35" i="30"/>
  <c r="P27" i="30"/>
  <c r="T41" i="30"/>
  <c r="S1" i="30" s="1"/>
  <c r="R41" i="30"/>
  <c r="Q1" i="30" s="1"/>
  <c r="Q41" i="30"/>
  <c r="P1" i="30" s="1"/>
  <c r="U41" i="30" l="1"/>
  <c r="T1" i="30" s="1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E40" i="30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AD40" i="30"/>
  <c r="AF40" i="30" s="1"/>
  <c r="K1" i="9"/>
  <c r="W6" i="30" l="1" a="1"/>
  <c r="W6" i="30" s="1"/>
  <c r="W13" i="30" a="1"/>
  <c r="W13" i="30" s="1"/>
  <c r="W22" i="30" a="1"/>
  <c r="W22" i="30" s="1"/>
  <c r="W30" i="30" a="1"/>
  <c r="W30" i="30" s="1"/>
  <c r="W38" i="30" a="1"/>
  <c r="W38" i="30" s="1"/>
  <c r="W19" i="30" a="1"/>
  <c r="W19" i="30" s="1"/>
  <c r="W27" i="30" a="1"/>
  <c r="W27" i="30" s="1"/>
  <c r="W39" i="30" a="1"/>
  <c r="W39" i="30" s="1"/>
  <c r="W36" i="30" a="1"/>
  <c r="W36" i="30" s="1"/>
  <c r="W21" i="30" a="1"/>
  <c r="W21" i="30" s="1"/>
  <c r="W33" i="30" a="1"/>
  <c r="W33" i="30" s="1"/>
  <c r="W9" i="30" a="1"/>
  <c r="W9" i="30" s="1"/>
  <c r="W7" i="30" a="1"/>
  <c r="W7" i="30" s="1"/>
  <c r="W17" i="30" a="1"/>
  <c r="W17" i="30" s="1"/>
  <c r="W26" i="30" a="1"/>
  <c r="W26" i="30" s="1"/>
  <c r="W34" i="30" a="1"/>
  <c r="W34" i="30" s="1"/>
  <c r="W8" i="30" a="1"/>
  <c r="W8" i="30" s="1"/>
  <c r="W24" i="30" a="1"/>
  <c r="W24" i="30" s="1"/>
  <c r="W31" i="30" a="1"/>
  <c r="W31" i="30" s="1"/>
  <c r="W28" i="30" a="1"/>
  <c r="W28" i="30" s="1"/>
  <c r="W40" i="30" a="1"/>
  <c r="W40" i="30" s="1"/>
  <c r="W25" i="30" a="1"/>
  <c r="W25" i="30" s="1"/>
  <c r="W37" i="30" a="1"/>
  <c r="W37" i="30" s="1"/>
  <c r="W10" i="30" a="1"/>
  <c r="W10" i="30" s="1"/>
  <c r="W15" i="30" a="1"/>
  <c r="W15" i="30" s="1"/>
  <c r="W35" i="30" a="1"/>
  <c r="W35" i="30" s="1"/>
  <c r="W12" i="30" a="1"/>
  <c r="W12" i="30" s="1"/>
  <c r="W29" i="30" a="1"/>
  <c r="W29" i="30" s="1"/>
  <c r="W11" i="30" a="1"/>
  <c r="W11" i="30" s="1"/>
  <c r="W20" i="30" a="1"/>
  <c r="W20" i="30" s="1"/>
  <c r="W32" i="30" a="1"/>
  <c r="W32" i="30" s="1"/>
  <c r="W5" i="30" a="1"/>
  <c r="W5" i="30" s="1"/>
  <c r="W14" i="30" a="1"/>
  <c r="W14" i="30" s="1"/>
  <c r="W23" i="30" a="1"/>
  <c r="W23" i="30" s="1"/>
  <c r="W18" i="30" a="1"/>
  <c r="W18" i="30" s="1"/>
  <c r="W16" i="30" a="1"/>
  <c r="W16" i="30" s="1"/>
  <c r="A36" i="9" a="1"/>
  <c r="A36" i="9" s="1"/>
  <c r="H53" i="9" a="1"/>
  <c r="B8" i="9" l="1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D8" i="9" a="1"/>
  <c r="D8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C13" i="9" a="1"/>
  <c r="C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<sst xmlns="http://schemas.openxmlformats.org/spreadsheetml/2006/main" count="264" uniqueCount="154">
  <si>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</si>
  <si>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</si>
  <si>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</si>
  <si>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</si>
  <si>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</si>
  <si>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</si>
  <si>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</si>
  <si>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</si>
  <si>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</si>
  <si>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</si>
  <si>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</si>
  <si>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</si>
  <si>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</si>
  <si>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</si>
  <si>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</si>
  <si>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</si>
  <si>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</si>
  <si>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</si>
  <si>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</si>
  <si>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</si>
  <si>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</si>
  <si>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</si>
  <si>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</si>
  <si>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</si>
  <si>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</si>
  <si>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</si>
  <si>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</si>
  <si>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</si>
  <si>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</si>
  <si>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</si>
  <si>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</si>
  <si>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</si>
  <si>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</si>
  <si>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</si>
  <si>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</si>
  <si>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</si>
  <si>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</si>
  <si>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</si>
  <si>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</si>
  <si>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</si>
  <si>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</si>
  <si>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</si>
  <si>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</si>
  <si>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</si>
  <si>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</si>
  <si>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</si>
  <si>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</si>
  <si>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</si>
  <si>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</si>
  <si>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</si>
  <si>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</si>
  <si>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</si>
  <si>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</si>
  <si>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</si>
  <si>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</si>
  <si>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</si>
  <si>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</si>
  <si>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</si>
  <si>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</si>
  <si>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</si>
  <si>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</si>
  <si>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</si>
  <si>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</si>
  <si>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</si>
  <si>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</si>
  <si>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</si>
  <si>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</si>
  <si>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</si>
  <si>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</si>
  <si>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</si>
  <si>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</si>
  <si>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</si>
  <si>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</si>
  <si>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</si>
  <si>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</si>
  <si>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</si>
  <si>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</si>
  <si>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</si>
  <si>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</si>
  <si>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</si>
  <si>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</si>
  <si>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</si>
  <si>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</si>
  <si>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</si>
  <si>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</si>
  <si>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</si>
  <si>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</si>
  <si>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</si>
  <si>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</si>
  <si>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</si>
  <si>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</si>
  <si>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</si>
  <si>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</si>
  <si>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</si>
  <si>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</si>
  <si>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</si>
  <si>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</si>
  <si>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</si>
  <si>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</si>
  <si>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</si>
  <si>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</si>
  <si>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</si>
  <si>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</si>
  <si>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</si>
  <si>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</si>
  <si>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</si>
  <si>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</si>
  <si>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</si>
  <si>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</si>
  <si>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</si>
  <si>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</si>
  <si>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</si>
  <si>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</si>
  <si>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</si>
  <si>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</si>
  <si>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JNKOREA</t>
  </si>
  <si>
    <t>ETA_SORT</t>
  </si>
  <si>
    <t>APEX</t>
  </si>
  <si>
    <t>SWEDN</t>
  </si>
  <si>
    <t>REGULAR</t>
  </si>
  <si>
    <t>JUMBO</t>
  </si>
  <si>
    <t>BENJA</t>
  </si>
  <si>
    <t>ONEYHFAF02526500</t>
  </si>
  <si>
    <t>23 Dry</t>
  </si>
  <si>
    <t>SNKO010251201302</t>
  </si>
  <si>
    <t>SNKO010251201301</t>
  </si>
  <si>
    <t>30 jumbo</t>
  </si>
  <si>
    <t>SNKO010251204496</t>
  </si>
  <si>
    <t>SNKO010251204497</t>
  </si>
  <si>
    <t>SNKO010251204498</t>
  </si>
  <si>
    <t>JUMBO + REGULAR</t>
  </si>
  <si>
    <t>MEDUUX748368</t>
  </si>
  <si>
    <t>OFFCUT + 30</t>
  </si>
  <si>
    <t>KMTCINC5221722</t>
  </si>
  <si>
    <t>OFFCUT</t>
  </si>
  <si>
    <t>KMTCINC5224712</t>
  </si>
  <si>
    <t>30 JUMBO + OFFCUTS</t>
  </si>
  <si>
    <t>KMTCINC5221719</t>
  </si>
  <si>
    <t>MOSHE</t>
  </si>
  <si>
    <t>EGLV588500021577</t>
  </si>
  <si>
    <t>EGLV588500021585</t>
  </si>
  <si>
    <t>EGLV588500021593</t>
  </si>
  <si>
    <t>EGLV588500021607</t>
  </si>
  <si>
    <t>JUMBO 23 + 27</t>
  </si>
  <si>
    <t>23/27/30 PRIME + OFFCUTS</t>
  </si>
  <si>
    <t>JR20251221</t>
  </si>
  <si>
    <t>KMTCINC5233563</t>
  </si>
  <si>
    <t>30 Jumbo</t>
  </si>
  <si>
    <t>30 jumbo gapping</t>
  </si>
  <si>
    <t>offcuts</t>
  </si>
  <si>
    <t>https://ecomm.one-line.com/one-ecom/manage-shipment/cargo-tracking?trakNoParam=</t>
  </si>
  <si>
    <t/>
  </si>
  <si>
    <t>__SEED__</t>
  </si>
  <si>
    <t>2025-12-31 14:36:57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</si>
</sst>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0" fillId="0" borderId="2" xfId="0" applyBorder="1"/>
    <xf numFmtId="0" fontId="6" fillId="0" borderId="3" xfId="0" applyFont="1" applyBorder="1"/>
    <xf numFmtId="0" fontId="0" fillId="0" borderId="4" xfId="0" applyBorder="1"/>
    <xf numFmtId="0" fontId="6" fillId="0" borderId="5" xfId="0" applyFont="1" applyBorder="1"/>
    <xf numFmtId="0" fontId="0" fillId="0" borderId="6" xfId="0" applyBorder="1"/>
    <xf numFmtId="0" fontId="0" fillId="0" borderId="7" xfId="0" applyBorder="1"/>
    <xf numFmtId="0" fontId="6" fillId="0" borderId="8" xfId="0" applyFont="1" applyBorder="1"/>
    <xf numFmtId="0" fontId="0" fillId="0" borderId="9" xfId="0" applyBorder="1"/>
    <xf numFmtId="0" fontId="0" fillId="0" borderId="10" xfId="0" applyBorder="1"/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</cellXfs>
  <cellStyles count="1">
    <cellStyle name="Normal" xfId="0" builtinId="0"/>
  </cellStyles>
  <dxfs count="116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209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21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21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21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21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21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21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TEST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38100</xdr:rowOff>
    </xdr:from>
    <xdr:to>
      <xdr:col>2</xdr:col>
      <xdr:colOff>266700</xdr:colOff>
      <xdr:row>20</xdr:row>
      <xdr:rowOff>42458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0" y="331470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Check For Updates</a:t>
          </a:r>
        </a:p>
      </xdr:txBody>
    </xdr:sp>
    <xdr:clientData/>
  </xdr:twoCellAnchor>
  <xdr:twoCellAnchor editAs="absolute">
    <xdr:from>
      <xdr:col>0</xdr:col>
      <xdr:colOff>0</xdr:colOff>
      <xdr:row>12</xdr:row>
      <xdr:rowOff>28575</xdr:rowOff>
    </xdr:from>
    <xdr:to>
      <xdr:col>2</xdr:col>
      <xdr:colOff>266700</xdr:colOff>
      <xdr:row>15</xdr:row>
      <xdr:rowOff>32933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0" y="235267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13</xdr:col>
      <xdr:colOff>581025</xdr:colOff>
      <xdr:row>0</xdr:row>
      <xdr:rowOff>47625</xdr:rowOff>
    </xdr:from>
    <xdr:to>
      <xdr:col>17</xdr:col>
      <xdr:colOff>92447</xdr:colOff>
      <xdr:row>3</xdr:row>
      <xdr:rowOff>42458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9286875" y="47625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TEST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1" totalsRowCount="1" headerRowDxfId="115" dataDxfId="114" totalsRowDxfId="113">
  <autoFilter ref="A4:AH40" xr:uid="{043BDE2E-5284-45F2-B9CF-EE8BF8A1E439}"/>
  <sortState xmlns:xlrd2="http://schemas.microsoft.com/office/spreadsheetml/2017/richdata2" ref="A5:AH40">
    <sortCondition ref="M4:M41"/>
  </sortState>
  <tableColumns count="34">
    <tableColumn id="8" xr3:uid="{21673799-FE31-4C71-A127-4A2103CEB43F}" name="Buyer" dataDxfId="112" totalsRowDxfId="111"/>
    <tableColumn id="1" xr3:uid="{D852F1B4-4E55-4188-BE5F-9E5DADA368C9}" name="Supplier Code" dataDxfId="110" totalsRowDxfId="109"/>
    <tableColumn id="2" xr3:uid="{5927B451-BF56-476D-821D-C1B920451EDA}" name="Material" dataDxfId="108" totalsRowDxfId="107"/>
    <tableColumn id="23" xr3:uid="{D7182449-2D89-40A9-85A3-9952B53829E6}" name="SC / Invoice Date" dataDxfId="106" totalsRowDxfId="105"/>
    <tableColumn id="3" xr3:uid="{A0E3F02B-99C5-48E2-A5E8-915EFD751BC5}" name="SC / Invoice No." dataDxfId="104" totalsRowDxfId="103"/>
    <tableColumn id="22" xr3:uid="{1F7DE952-B9AE-40F5-9FFF-F611E6A97D0C}" name="SC Period" dataDxfId="102" totalsRowDxfId="101"/>
    <tableColumn id="4" xr3:uid="{BA8A0D79-91FB-4746-B728-FC79D550ACA8}" name="BL No" dataDxfId="100" totalsRowDxfId="99"/>
    <tableColumn id="5" xr3:uid="{21819620-98E5-4873-BC56-8370415099ED}" name="Shipping Line" dataDxfId="98" totalsRowDxfId="97"/>
    <tableColumn id="24" xr3:uid="{19B6880A-6363-4B87-A425-C019153F8FFD}" name="Weight" totalsRowFunction="sum" dataDxfId="96" totalsRowDxfId="95"/>
    <tableColumn id="25" xr3:uid="{AF5F2ACF-68D8-40CA-897B-83766D47AA3C}" name="Container No." dataDxfId="94" totalsRowDxfId="93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92" totalsRowDxfId="91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90" totalsRowDxfId="89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88" totalsRowDxfId="87">
      <calculatedColumnFormula>IF(PurchaseList_Table[[#This Row],[ETA]]="", 2958465, VALUE(PurchaseList_Table[[#This Row],[ETA]]))</calculatedColumnFormula>
    </tableColumn>
    <tableColumn id="10" xr3:uid="{7A76C0FC-793C-4C04-9EE5-0AEA22B354FE}" name="ETD" dataDxfId="86" totalsRowDxfId="85">
      <calculatedColumnFormula>_xlfn.XLOOKUP(PurchaseList_Table[[#This Row],[BL No]],ResultTable[BL], ResultTable[ETD], "")</calculatedColumnFormula>
    </tableColumn>
    <tableColumn id="9" xr3:uid="{53F344AF-6B0F-4D1F-9A03-C95F7AA276F7}" name="ETA" dataDxfId="84" totalsRowDxfId="83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82" totalsRowDxfId="81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80" totalsRowDxfId="79"/>
    <tableColumn id="12" xr3:uid="{4BF48BFF-7229-489F-9058-8A90A99FF09C}" name="Total invoice Amount" totalsRowFunction="sum" dataDxfId="78" totalsRowDxfId="77"/>
    <tableColumn id="13" xr3:uid="{2E49F1B0-CF17-4D41-BB29-5274C156AEC5}" name="Credit Period" dataDxfId="76" totalsRowDxfId="75"/>
    <tableColumn id="14" xr3:uid="{630BD1EE-9186-4991-8291-BBC3290F59E6}" name="Paid Balance amount" totalsRowFunction="sum" dataDxfId="74" totalsRowDxfId="73"/>
    <tableColumn id="15" xr3:uid="{57490D24-0844-4BA9-9668-9FE5FB49BFA9}" name="Outstanding Amount" totalsRowFunction="sum" dataDxfId="72" totalsRowDxfId="71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70" totalsRowDxfId="69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68" totalsRowDxfId="67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calculatedColumnFormula>
    </tableColumn>
    <tableColumn id="28" xr3:uid="{B1D9440A-B216-4BAB-8F17-2FC1DBF549DD}" name="CHA" dataDxfId="66" totalsRowDxfId="65"/>
    <tableColumn id="34" xr3:uid="{4FD0F5DA-1703-40A3-BBC8-92775524A99E}" name="SWB / Release" dataDxfId="64" totalsRowDxfId="63"/>
    <tableColumn id="33" xr3:uid="{36FC86B7-35EF-406B-B924-6B8B67DAB5BC}" name="PSIC" dataDxfId="62" totalsRowDxfId="61"/>
    <tableColumn id="30" xr3:uid="{8A7C84E1-A6E5-40B9-867A-B617E6714FAF}" name="SIMS" dataDxfId="60" totalsRowDxfId="59"/>
    <tableColumn id="29" xr3:uid="{22D1770A-E687-4C49-AAB4-40766A33D9DC}" name="DOCS SET" dataDxfId="58" totalsRowDxfId="57"/>
    <tableColumn id="35" xr3:uid="{18D3CA3F-0C9D-4C5D-BD9A-12E90E07A522}" name="+" dataDxfId="56" totalsRowDxfId="55"/>
    <tableColumn id="18" xr3:uid="{B4E260EE-BC84-4BE8-98BC-20941EA6502D}" name="ETA MONTH" dataDxfId="54" totalsRowDxfId="53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52" totalsRowDxfId="51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50" totalsRowDxfId="49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48" totalsRowDxfId="47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46" totalsRowDxfId="45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" tableType="queryTable" totalsRowShown="0">
  <autoFilter ref="A1:L2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7" tableType="queryTable" totalsRowShown="0">
  <autoFilter ref="A1:G7" xr:uid="{FC065B18-B60B-486A-88A8-C28D647B4B1C}"/>
  <tableColumns count="7">
    <tableColumn id="1" xr3:uid="{8A59DE40-8C1D-4B3D-A5FD-AA186D36BCAD}" uniqueName="1" name="id" queryTableFieldId="1" dataDxfId="44"/>
    <tableColumn id="2" xr3:uid="{F6C4C091-6FFE-427D-A9D0-0F1051272BEF}" uniqueName="2" name="code" queryTableFieldId="2" dataDxfId="43"/>
    <tableColumn id="3" xr3:uid="{E4D40946-3AA0-4D5D-82FE-C35C2411C359}" uniqueName="3" name="display_name" queryTableFieldId="3" dataDxfId="42"/>
    <tableColumn id="4" xr3:uid="{5A500DBE-1FE8-4C84-9D2E-B3ED3E1B03AC}" uniqueName="4" name="scraper_key" queryTableFieldId="4" dataDxfId="41"/>
    <tableColumn id="5" xr3:uid="{0FDEA853-26C7-404B-87C7-B86FC2E7DBC9}" uniqueName="5" name="url" queryTableFieldId="5" dataDxfId="40"/>
    <tableColumn id="6" xr3:uid="{D89E3684-3AA8-4E47-A869-1D452A264E75}" uniqueName="6" name="active" queryTableFieldId="6" dataDxfId="39"/>
    <tableColumn id="7" xr3:uid="{08D97D60-3B2F-4A93-937D-0DFA9BAA48F0}" uniqueName="7" name="created_at" queryTableFieldId="7" dataDxfId="38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B33" sqref="B3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3.7109375" customWidth="1"/>
    <col min="13" max="13" width="13.140625" customWidth="1"/>
    <col min="14" max="14" width="89.85546875" bestFit="1" customWidth="1"/>
    <col min="15" max="15" width="11" customWidth="1"/>
  </cols>
  <sheetData>
    <row r="1" spans="1:14" ht="16.5" customHeight="1" x14ac:dyDescent="0.25">
      <c r="A1" s="83" t="s">
        <v>31</v>
      </c>
      <c r="B1" s="79" t="s">
        <v>54</v>
      </c>
      <c r="C1" s="79" t="s">
        <v>52</v>
      </c>
      <c r="D1" s="79" t="s">
        <v>53</v>
      </c>
      <c r="E1" s="80" t="s">
        <v>8</v>
      </c>
      <c r="G1" s="78" t="s">
        <v>46</v>
      </c>
      <c r="H1" s="78"/>
      <c r="I1" s="78"/>
      <c r="K1" s="37">
        <f ca="1">TODAY()</f>
        <v>46022</v>
      </c>
    </row>
    <row r="2" spans="1:14" ht="16.5" customHeight="1" x14ac:dyDescent="0.25">
      <c r="A2" s="83"/>
      <c r="B2" s="79"/>
      <c r="C2" s="79"/>
      <c r="D2" s="79"/>
      <c r="E2" s="80"/>
      <c r="F2" s="4"/>
      <c r="G2" s="78"/>
      <c r="H2" s="78"/>
      <c r="I2" s="78"/>
    </row>
    <row r="3" spans="1:14" ht="16.5" customHeight="1" x14ac:dyDescent="1">
      <c r="A3" s="83"/>
      <c r="B3" s="85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Pay"},
                    0
                )
            )
        )
    ),
0)</f>
        <v>0</v>
      </c>
      <c r="C3" s="85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85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86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4" ht="16.5" customHeight="1" x14ac:dyDescent="0.25">
      <c r="A4" s="83"/>
      <c r="B4" s="85"/>
      <c r="C4" s="85"/>
      <c r="D4" s="85"/>
      <c r="E4" s="86"/>
      <c r="F4" s="2"/>
      <c r="G4" s="19" t="str" cm="1">
        <f t="array" ref="G4:I15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JUMBO</v>
      </c>
      <c r="H4" s="20" t="str">
        <v>78.94 MT</v>
      </c>
      <c r="I4" s="29">
        <v>0</v>
      </c>
    </row>
    <row r="5" spans="1:14" ht="16.5" customHeight="1" x14ac:dyDescent="0.3">
      <c r="A5" s="83"/>
      <c r="B5" s="85"/>
      <c r="C5" s="85"/>
      <c r="D5" s="85"/>
      <c r="E5" s="86"/>
      <c r="F5" s="2"/>
      <c r="G5" s="21" t="str">
        <v>23 Dry</v>
      </c>
      <c r="H5" s="22" t="str">
        <v>68.64 MT</v>
      </c>
      <c r="I5" s="30">
        <v>0</v>
      </c>
    </row>
    <row r="6" spans="1:14" ht="16.5" customHeight="1" x14ac:dyDescent="0.3">
      <c r="A6" s="83"/>
      <c r="B6" s="85"/>
      <c r="C6" s="85"/>
      <c r="D6" s="85"/>
      <c r="E6" s="86"/>
      <c r="F6" s="2"/>
      <c r="G6" s="21" t="str">
        <v>30 jumbo</v>
      </c>
      <c r="H6" s="22" t="str">
        <v>269.47 MT</v>
      </c>
      <c r="I6" s="30">
        <v>0</v>
      </c>
    </row>
    <row r="7" spans="1:14" ht="16.5" customHeight="1" x14ac:dyDescent="0.3">
      <c r="A7" s="83"/>
      <c r="B7" s="85"/>
      <c r="C7" s="85"/>
      <c r="D7" s="85"/>
      <c r="E7" s="86"/>
      <c r="F7" s="2"/>
      <c r="G7" s="21" t="str">
        <v>JUMBO + REGULAR</v>
      </c>
      <c r="H7" s="22" t="str">
        <v>26.95 MT</v>
      </c>
      <c r="I7" s="30">
        <v>0</v>
      </c>
    </row>
    <row r="8" spans="1:14" ht="16.5" customHeight="1" x14ac:dyDescent="0.3">
      <c r="A8" s="83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484.04700000000003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Signed"},
                    0
                )
            )
        )
    ),
0)</f>
        <v>274</v>
      </c>
      <c r="E8" s="13">
        <f ca="1">$B$8+$C$8+$D$8</f>
        <v>758.04700000000003</v>
      </c>
      <c r="F8" s="2"/>
      <c r="G8" s="21" t="str">
        <v>REGULAR</v>
      </c>
      <c r="H8" s="22" t="str">
        <v>109.25 MT</v>
      </c>
      <c r="I8" s="30">
        <v>0</v>
      </c>
    </row>
    <row r="9" spans="1:14" ht="16.5" customHeight="1" x14ac:dyDescent="0.3">
      <c r="A9" s="83"/>
      <c r="B9" s="13"/>
      <c r="C9" s="13"/>
      <c r="D9" s="13"/>
      <c r="E9" s="13"/>
      <c r="F9" s="2"/>
      <c r="G9" s="21" t="str">
        <v>OFFCUT</v>
      </c>
      <c r="H9" s="22" t="str">
        <v>21.60 MT</v>
      </c>
      <c r="I9" s="30">
        <v>0</v>
      </c>
    </row>
    <row r="10" spans="1:14" s="3" customFormat="1" ht="16.5" customHeight="1" x14ac:dyDescent="0.3">
      <c r="A10" s="14"/>
      <c r="B10" s="14"/>
      <c r="C10" s="14"/>
      <c r="D10" s="14"/>
      <c r="E10" s="14"/>
      <c r="G10" s="21" t="str">
        <v>30 JUMBO + OFFCUTS</v>
      </c>
      <c r="H10" s="22" t="str">
        <v>22.72 MT</v>
      </c>
      <c r="I10" s="30">
        <v>0</v>
      </c>
      <c r="J10"/>
      <c r="K10" s="6"/>
      <c r="L10"/>
      <c r="M10"/>
      <c r="N10"/>
    </row>
    <row r="11" spans="1:14" s="3" customFormat="1" ht="16.5" customHeight="1" x14ac:dyDescent="0.3">
      <c r="A11" s="84" t="s">
        <v>34</v>
      </c>
      <c r="B11" s="79" t="s">
        <v>4</v>
      </c>
      <c r="C11" s="79" t="s">
        <v>57</v>
      </c>
      <c r="D11" s="79" t="s">
        <v>32</v>
      </c>
      <c r="E11" s="80" t="s">
        <v>8</v>
      </c>
      <c r="G11" s="21" t="str">
        <v>23/27/30 PRIME + OFFCUTS</v>
      </c>
      <c r="H11" s="22" t="str">
        <v>23.77 MT</v>
      </c>
      <c r="I11" s="30">
        <v>0</v>
      </c>
      <c r="J11"/>
      <c r="K11" s="6"/>
      <c r="L11"/>
      <c r="M11"/>
      <c r="N11"/>
    </row>
    <row r="12" spans="1:14" ht="16.5" customHeight="1" x14ac:dyDescent="0.3">
      <c r="A12" s="84"/>
      <c r="B12" s="79"/>
      <c r="C12" s="79"/>
      <c r="D12" s="79"/>
      <c r="E12" s="80"/>
      <c r="G12" s="21" t="str">
        <v>OFFCUT + 30</v>
      </c>
      <c r="H12" s="22" t="str">
        <v>22.72 MT</v>
      </c>
      <c r="I12" s="30">
        <v>0</v>
      </c>
    </row>
    <row r="13" spans="1:14" ht="16.5" customHeight="1" x14ac:dyDescent="0.3">
      <c r="A13" s="84"/>
      <c r="B13" s="81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81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315974.48</v>
      </c>
      <c r="D13" s="81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82">
        <f ca="1">$C$13+$B$13</f>
        <v>315974.48</v>
      </c>
      <c r="G13" s="21" t="str">
        <v>JUMBO 23 + 27</v>
      </c>
      <c r="H13" s="22" t="str">
        <v>30.00 MT</v>
      </c>
      <c r="I13" s="30">
        <v>0</v>
      </c>
    </row>
    <row r="14" spans="1:14" ht="16.5" customHeight="1" x14ac:dyDescent="0.3">
      <c r="A14" s="84"/>
      <c r="B14" s="81"/>
      <c r="C14" s="81"/>
      <c r="D14" s="81"/>
      <c r="E14" s="82"/>
      <c r="G14" s="21" t="str">
        <v>30 jumbo gapping</v>
      </c>
      <c r="H14" s="22" t="str">
        <v>50.00 MT</v>
      </c>
      <c r="I14" s="30">
        <v>0</v>
      </c>
    </row>
    <row r="15" spans="1:14" ht="16.5" customHeight="1" x14ac:dyDescent="0.3">
      <c r="A15" s="84"/>
      <c r="B15" s="81"/>
      <c r="C15" s="81"/>
      <c r="D15" s="81"/>
      <c r="E15" s="82"/>
      <c r="G15" s="21" t="str">
        <v>offcuts</v>
      </c>
      <c r="H15" s="22" t="str">
        <v>34.00 MT</v>
      </c>
      <c r="I15" s="30">
        <v>0</v>
      </c>
    </row>
    <row r="16" spans="1:14" ht="16.5" customHeight="1" x14ac:dyDescent="0.3">
      <c r="A16" s="84"/>
      <c r="B16" s="81"/>
      <c r="C16" s="81"/>
      <c r="D16" s="81"/>
      <c r="E16" s="82"/>
      <c r="G16" s="21"/>
      <c r="H16" s="22"/>
      <c r="I16" s="30"/>
    </row>
    <row r="17" spans="1:16" ht="16.5" customHeight="1" x14ac:dyDescent="0.3">
      <c r="A17" s="84"/>
      <c r="B17" s="81"/>
      <c r="C17" s="81"/>
      <c r="D17" s="81"/>
      <c r="E17" s="82"/>
      <c r="G17" s="21"/>
      <c r="H17" s="22"/>
      <c r="I17" s="30"/>
    </row>
    <row r="18" spans="1:16" ht="16.5" customHeight="1" x14ac:dyDescent="0.3">
      <c r="A18" s="84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84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84" t="s">
        <v>35</v>
      </c>
      <c r="B21" s="79" t="s">
        <v>55</v>
      </c>
      <c r="C21" s="79" t="s">
        <v>56</v>
      </c>
      <c r="D21" s="79" t="s">
        <v>33</v>
      </c>
      <c r="E21" s="80" t="s">
        <v>8</v>
      </c>
      <c r="G21" s="21"/>
      <c r="H21" s="22"/>
      <c r="I21" s="30"/>
    </row>
    <row r="22" spans="1:16" ht="16.5" customHeight="1" x14ac:dyDescent="0.25">
      <c r="A22" s="84"/>
      <c r="B22" s="79"/>
      <c r="C22" s="79"/>
      <c r="D22" s="79"/>
      <c r="E22" s="80"/>
    </row>
    <row r="23" spans="1:16" ht="16.5" customHeight="1" x14ac:dyDescent="0.25">
      <c r="A23" s="84"/>
      <c r="B23" s="81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81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81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82">
        <f ca="1">$B$23+$C$23+$D$23</f>
        <v>0</v>
      </c>
    </row>
    <row r="24" spans="1:16" ht="16.5" customHeight="1" x14ac:dyDescent="0.25">
      <c r="A24" s="84"/>
      <c r="B24" s="81"/>
      <c r="C24" s="81"/>
      <c r="D24" s="81"/>
      <c r="E24" s="82"/>
    </row>
    <row r="25" spans="1:16" ht="16.5" customHeight="1" x14ac:dyDescent="0.25">
      <c r="A25" s="84"/>
      <c r="B25" s="81"/>
      <c r="C25" s="81"/>
      <c r="D25" s="81"/>
      <c r="E25" s="82"/>
    </row>
    <row r="26" spans="1:16" ht="16.5" customHeight="1" x14ac:dyDescent="0.25">
      <c r="A26" s="84"/>
      <c r="B26" s="81"/>
      <c r="C26" s="81"/>
      <c r="D26" s="81"/>
      <c r="E26" s="82"/>
      <c r="I26" s="11"/>
    </row>
    <row r="27" spans="1:16" ht="16.5" customHeight="1" x14ac:dyDescent="0.25">
      <c r="A27" s="84"/>
      <c r="B27" s="81"/>
      <c r="C27" s="81"/>
      <c r="D27" s="81"/>
      <c r="E27" s="82"/>
    </row>
    <row r="28" spans="1:16" ht="16.5" customHeight="1" x14ac:dyDescent="0.25">
      <c r="A28" s="84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84"/>
      <c r="B29" s="14"/>
      <c r="C29" s="14"/>
      <c r="D29" s="14"/>
      <c r="E29" s="14"/>
    </row>
    <row r="35" spans="1:5" ht="18.75" customHeight="1" x14ac:dyDescent="0.3">
      <c r="A35" s="76" t="s">
        <v>48</v>
      </c>
      <c r="B35" s="76"/>
      <c r="C35" s="76"/>
      <c r="D35" s="76"/>
      <c r="E35" s="76"/>
    </row>
    <row r="36" spans="1:5" ht="15" customHeight="1" x14ac:dyDescent="0.25">
      <c r="A36" s="23" t="str" cm="1">
        <f t="array" ref="A36:B48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Material</v>
      </c>
      <c r="B36" s="23" t="str">
        <v>Waiting for loading</v>
      </c>
      <c r="C36" s="23"/>
      <c r="D36" s="23"/>
      <c r="E36" s="23"/>
    </row>
    <row r="37" spans="1:5" ht="15" customHeight="1" x14ac:dyDescent="0.25">
      <c r="A37" s="24" t="str">
        <v>JUMBO</v>
      </c>
      <c r="B37" s="24" t="str">
        <v/>
      </c>
      <c r="C37" s="24"/>
      <c r="D37" s="24"/>
      <c r="E37" s="24"/>
    </row>
    <row r="38" spans="1:5" ht="15" customHeight="1" x14ac:dyDescent="0.25">
      <c r="A38" s="24" t="str">
        <v>23 Dry</v>
      </c>
      <c r="B38" s="24" t="str">
        <v/>
      </c>
      <c r="C38" s="24"/>
      <c r="D38" s="24"/>
      <c r="E38" s="24"/>
    </row>
    <row r="39" spans="1:5" ht="15" customHeight="1" x14ac:dyDescent="0.25">
      <c r="A39" s="24" t="str">
        <v>30 jumbo</v>
      </c>
      <c r="B39" s="24" t="str">
        <v/>
      </c>
      <c r="C39" s="24"/>
      <c r="D39" s="24"/>
      <c r="E39" s="24"/>
    </row>
    <row r="40" spans="1:5" ht="15" customHeight="1" x14ac:dyDescent="0.25">
      <c r="A40" s="24" t="str">
        <v>JUMBO + REGULAR</v>
      </c>
      <c r="B40" s="24" t="str">
        <v/>
      </c>
      <c r="C40" s="24"/>
      <c r="D40" s="24"/>
      <c r="E40" s="24"/>
    </row>
    <row r="41" spans="1:5" ht="15" customHeight="1" x14ac:dyDescent="0.25">
      <c r="A41" s="24" t="str">
        <v>REGULAR</v>
      </c>
      <c r="B41" s="24" t="str">
        <v/>
      </c>
      <c r="C41" s="24"/>
      <c r="D41" s="24"/>
      <c r="E41" s="24"/>
    </row>
    <row r="42" spans="1:5" ht="15" customHeight="1" x14ac:dyDescent="0.25">
      <c r="A42" s="24" t="str">
        <v>OFFCUT</v>
      </c>
      <c r="B42" s="24" t="str">
        <v/>
      </c>
      <c r="C42" s="24"/>
      <c r="D42" s="24"/>
      <c r="E42" s="24"/>
    </row>
    <row r="43" spans="1:5" x14ac:dyDescent="0.25">
      <c r="A43" s="24" t="str">
        <v>30 JUMBO + OFFCUTS</v>
      </c>
      <c r="B43" s="24" t="str">
        <v/>
      </c>
      <c r="C43" s="24"/>
      <c r="D43" s="24"/>
      <c r="E43" s="24"/>
    </row>
    <row r="44" spans="1:5" x14ac:dyDescent="0.25">
      <c r="A44" s="24" t="str">
        <v>23/27/30 PRIME + OFFCUTS</v>
      </c>
      <c r="B44" s="24" t="str">
        <v/>
      </c>
      <c r="C44" s="24"/>
      <c r="D44" s="24"/>
      <c r="E44" s="24"/>
    </row>
    <row r="45" spans="1:5" x14ac:dyDescent="0.25">
      <c r="A45" s="24" t="str">
        <v>OFFCUT + 30</v>
      </c>
      <c r="B45" s="24" t="str">
        <v/>
      </c>
      <c r="C45" s="24"/>
      <c r="D45" s="24"/>
      <c r="E45" s="24"/>
    </row>
    <row r="46" spans="1:5" x14ac:dyDescent="0.25">
      <c r="A46" s="24" t="str">
        <v>JUMBO 23 + 27</v>
      </c>
      <c r="B46" s="24" t="str">
        <v/>
      </c>
      <c r="C46" s="24"/>
      <c r="D46" s="24"/>
      <c r="E46" s="24"/>
    </row>
    <row r="47" spans="1:5" x14ac:dyDescent="0.25">
      <c r="A47" s="24" t="str">
        <v>30 jumbo gapping</v>
      </c>
      <c r="B47" s="24" t="str">
        <v/>
      </c>
      <c r="C47" s="24"/>
      <c r="D47" s="24"/>
      <c r="E47" s="24"/>
    </row>
    <row r="48" spans="1:5" x14ac:dyDescent="0.25">
      <c r="A48" s="24" t="str">
        <v>offcuts</v>
      </c>
      <c r="B48" s="24" t="str">
        <v/>
      </c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77" t="s">
        <v>47</v>
      </c>
      <c r="I51" s="77"/>
      <c r="J51" s="77"/>
      <c r="K51" s="77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ht="60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77" t="s">
        <v>41</v>
      </c>
      <c r="I70" s="77"/>
      <c r="J70" s="77"/>
      <c r="K70" s="77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30" x14ac:dyDescent="0.25">
      <c r="H72" s="26" t="str" cm="1">
        <f t="array" ref="H72:K76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BENJA</v>
      </c>
      <c r="I72" s="26">
        <v>0</v>
      </c>
      <c r="J72" s="27" t="str">
        <v>81.14 MT</v>
      </c>
      <c r="K72" s="26" t="str">
        <v>JUMBO - BENJA -  ctrs- 51.14 MT
JUMBO 23 + 27 - BENJA -  ctrs- 30 MT</v>
      </c>
    </row>
    <row r="73" spans="8:11" ht="225" x14ac:dyDescent="0.25">
      <c r="H73" s="26" t="str">
        <v>JNKOREA</v>
      </c>
      <c r="I73" s="26">
        <v>0</v>
      </c>
      <c r="J73" s="31" t="str">
        <v>512.907 MT</v>
      </c>
      <c r="K73" s="26" t="str">
        <v>23 Dry - JNKOREA -  ctrs- 22.74 MT
23 Dry - JNKOREA -  ctrs- 22.864 MT
23 Dry - JNKOREA -  ctrs- 23.032 MT
30 jumbo - JNKOREA -  ctrs- 23.6 MT
30 jumbo - JNKOREA -  ctrs- 20.1 MT
30 jumbo - JNKOREA -  ctrs- 22.47 MT
30 jumbo - JNKOREA -  ctrs- 22.1 MT
30 jumbo - JNKOREA -  ctrs- 21.2 MT
OFFCUT - JNKOREA -  ctrs- 21.595 MT
30 JUMBO + OFFCUTS - JNKOREA -  ctrs- 22.72 MT
23/27/30 PRIME + OFFCUTS - JNKOREA -  ctrs- 23.766 MT
OFFCUT + 30 - JNKOREA -  ctrs- 22.72 MT
30 Jumbo - JNKOREA -  ctrs- 160 MT
30 jumbo gapping - JNKOREA -  ctrs- 50 MT
offcuts - JNKOREA -  ctrs- 34 MT</v>
      </c>
    </row>
    <row r="74" spans="8:11" ht="30" x14ac:dyDescent="0.25">
      <c r="H74" s="26" t="str">
        <v>SWEDN</v>
      </c>
      <c r="I74" s="26">
        <v>0</v>
      </c>
      <c r="J74" s="31" t="str">
        <v>55.2 MT</v>
      </c>
      <c r="K74" s="26" t="str">
        <v>JUMBO + REGULAR - SWEDN -  ctrs- 26.95 MT
REGULAR - SWEDN -  ctrs- 28.25 MT</v>
      </c>
    </row>
    <row r="75" spans="8:11" ht="60" x14ac:dyDescent="0.25">
      <c r="H75" s="26" t="str">
        <v>MOSHE</v>
      </c>
      <c r="I75" s="26">
        <v>0</v>
      </c>
      <c r="J75" s="31" t="str">
        <v>108.8 MT</v>
      </c>
      <c r="K75" s="26" t="str">
        <v>REGULAR - MOSHE -  ctrs- 27.32 MT
REGULAR - MOSHE -  ctrs- 27.68 MT
JUMBO - MOSHE -  ctrs- 27.8 MT
REGULAR - MOSHE -  ctrs- 26 MT</v>
      </c>
    </row>
    <row r="76" spans="8:11" ht="195" x14ac:dyDescent="0.25">
      <c r="H76" s="26">
        <v>0</v>
      </c>
      <c r="I76" s="26">
        <v>0</v>
      </c>
      <c r="J76" s="31" t="str">
        <v>0 MT</v>
      </c>
      <c r="K76" s="26" t="str">
        <v xml:space="preserve"> -  -  ctrs-  MT
 -  -  ctrs-  MT
 -  -  ctrs-  MT
 -  -  ctrs-  MT
 -  -  ctrs-  MT
 -  -  ctrs-  MT
 -  -  ctrs-  MT
 -  -  ctrs-  MT
 -  -  ctrs-  MT
 -  -  ctrs-  MT
 -  -  ctrs-  MT
 -  -  ctrs-  MT
 -  -  ctrs-  MT</v>
      </c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37" priority="10">
      <formula>$G1&lt;&gt;""</formula>
    </cfRule>
  </conditionalFormatting>
  <conditionalFormatting sqref="A36:D50 A35">
    <cfRule type="expression" dxfId="36" priority="5">
      <formula>$A35&lt;&gt;0</formula>
    </cfRule>
  </conditionalFormatting>
  <conditionalFormatting sqref="H51:K65">
    <cfRule type="expression" dxfId="35" priority="4">
      <formula>$H51&lt;&gt;0</formula>
    </cfRule>
  </conditionalFormatting>
  <conditionalFormatting sqref="H70:K100">
    <cfRule type="expression" dxfId="34" priority="3">
      <formula>$H70&lt;&gt;0</formula>
    </cfRule>
  </conditionalFormatting>
  <conditionalFormatting sqref="E36">
    <cfRule type="expression" dxfId="33" priority="2">
      <formula>$A36&lt;&gt;0</formula>
    </cfRule>
  </conditionalFormatting>
  <conditionalFormatting sqref="E37:E50">
    <cfRule type="expression" dxfId="32" priority="1">
      <formula>$A37&lt;&gt;0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8"/>
  <sheetViews>
    <sheetView tabSelected="1" zoomScale="90" zoomScaleNormal="9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I37" sqref="I37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75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.28515625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90"/>
      <c r="H1" s="92"/>
      <c r="I1" s="91">
        <f>PurchaseList_Table[[#Totals], [Weight]]</f>
        <v>758.04700000000003</v>
      </c>
      <c r="J1" s="73"/>
      <c r="K1" s="89">
        <f>PurchaseList_Table[[#Totals], [CLN No. of cnt]]</f>
        <v>0</v>
      </c>
      <c r="L1" s="58"/>
      <c r="N1" s="58"/>
      <c r="O1" s="48"/>
      <c r="P1" s="87">
        <f>PurchaseList_Table[[#Totals], [Advance Paid]]</f>
        <v>121324</v>
      </c>
      <c r="Q1" s="88">
        <f>PurchaseList_Table[[#Totals], [Total invoice Amount]]</f>
        <v>315974.48</v>
      </c>
      <c r="R1" s="47"/>
      <c r="S1" s="87">
        <f>PurchaseList_Table[[#Totals], [Paid Balance amount]]</f>
        <v>194650.48</v>
      </c>
      <c r="T1" s="88">
        <f>PurchaseList_Table[[#Totals], [Outstanding Amount]]</f>
        <v>0</v>
      </c>
    </row>
    <row r="2" spans="1:34" s="9" customFormat="1" ht="18.75" customHeight="1" x14ac:dyDescent="0.25">
      <c r="C2" s="46"/>
      <c r="G2" s="90"/>
      <c r="H2" s="92"/>
      <c r="I2" s="89"/>
      <c r="J2" s="73"/>
      <c r="K2" s="89"/>
      <c r="L2" s="58"/>
      <c r="O2" s="48"/>
      <c r="P2" s="87"/>
      <c r="Q2" s="88"/>
      <c r="R2" s="47"/>
      <c r="S2" s="87"/>
      <c r="T2" s="88"/>
    </row>
    <row r="3" spans="1:34" s="9" customFormat="1" ht="15" customHeight="1" x14ac:dyDescent="0.25">
      <c r="C3" s="46"/>
      <c r="G3" s="90"/>
      <c r="H3" s="92"/>
      <c r="I3" s="89"/>
      <c r="J3" s="73"/>
      <c r="K3" s="89"/>
      <c r="L3" s="58"/>
      <c r="O3" s="48"/>
      <c r="P3" s="87"/>
      <c r="Q3" s="88"/>
      <c r="R3" s="47"/>
      <c r="S3" s="87"/>
      <c r="T3" s="88"/>
    </row>
    <row r="4" spans="1:34" s="35" customFormat="1" ht="45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116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 t="s">
        <v>117</v>
      </c>
      <c r="B5" s="36" t="s">
        <v>121</v>
      </c>
      <c r="C5" s="36" t="s">
        <v>120</v>
      </c>
      <c r="D5" s="45"/>
      <c r="E5" s="41"/>
      <c r="F5" s="59"/>
      <c r="G5" s="56" t="s">
        <v>122</v>
      </c>
      <c r="H5" s="36" t="s">
        <v>89</v>
      </c>
      <c r="I5" s="42">
        <v>51.14</v>
      </c>
      <c r="J5" s="70" t="str">
        <f>_xlfn.XLOOKUP(PurchaseList_Table[[#This Row],[BL No]],ResultTable[BL], ResultTable[Containers No.], "")</f>
        <v/>
      </c>
      <c r="K5" s="70" t="str">
        <f>_xlfn.XLOOKUP(PurchaseList_Table[[#This Row],[BL No]],ResultTable[BL], ResultTable[Container Type], "")</f>
        <v/>
      </c>
      <c r="L5" s="70" t="str">
        <f>_xlfn.XLOOKUP(PurchaseList_Table[[#This Row],[BL No]],ResultTable[BL], ResultTable[No. of Containers], "")</f>
        <v/>
      </c>
      <c r="M5" s="70">
        <f>IF(PurchaseList_Table[[#This Row],[ETA]]="", 2958465, VALUE(PurchaseList_Table[[#This Row],[ETA]]))</f>
        <v>2958465</v>
      </c>
      <c r="N5" s="71" t="str">
        <f>_xlfn.XLOOKUP(PurchaseList_Table[[#This Row],[BL No]],ResultTable[BL], ResultTable[ETD], "")</f>
        <v/>
      </c>
      <c r="O5" s="71" t="str">
        <f>_xlfn.XLOOKUP(
    PurchaseList_Table[[#This Row],[BL No]],
    ResultTable[BL],
    ResultTable[ETA],
    "",
    0
)</f>
        <v/>
      </c>
      <c r="P5" s="50"/>
      <c r="Q5" s="43">
        <v>7300</v>
      </c>
      <c r="R5" s="43">
        <v>35171.4</v>
      </c>
      <c r="S5" s="36">
        <v>0</v>
      </c>
      <c r="T5" s="43">
        <v>27871.4</v>
      </c>
      <c r="U5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5" s="71" t="str">
        <f>IFERROR(IF(PurchaseList_Table[[#This Row],[Outstanding Amount]]="","",
   PurchaseList_Table[[#This Row],[ETD]] + PurchaseList_Table[[#This Row],[Credit Period]]
),"")</f>
        <v/>
      </c>
      <c r="W5" s="70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>JUMBO</v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51.14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 t="s">
        <v>117</v>
      </c>
      <c r="B6" s="36" t="s">
        <v>115</v>
      </c>
      <c r="C6" s="36" t="s">
        <v>123</v>
      </c>
      <c r="D6" s="45"/>
      <c r="E6" s="41"/>
      <c r="F6" s="59"/>
      <c r="G6" s="56" t="s">
        <v>30</v>
      </c>
      <c r="H6" s="36" t="s">
        <v>21</v>
      </c>
      <c r="I6" s="42">
        <v>22.74</v>
      </c>
      <c r="J6" s="70" t="str">
        <f>_xlfn.XLOOKUP(PurchaseList_Table[[#This Row],[BL No]],ResultTable[BL], ResultTable[Containers No.], "")</f>
        <v/>
      </c>
      <c r="K6" s="70" t="str">
        <f>_xlfn.XLOOKUP(PurchaseList_Table[[#This Row],[BL No]],ResultTable[BL], ResultTable[Container Type], "")</f>
        <v/>
      </c>
      <c r="L6" s="70" t="str">
        <f>_xlfn.XLOOKUP(PurchaseList_Table[[#This Row],[BL No]],ResultTable[BL], ResultTable[No. of Containers], "")</f>
        <v/>
      </c>
      <c r="M6" s="70">
        <f>IF(PurchaseList_Table[[#This Row],[ETA]]="", 2958465, VALUE(PurchaseList_Table[[#This Row],[ETA]]))</f>
        <v>2958465</v>
      </c>
      <c r="N6" s="71" t="str">
        <f>_xlfn.XLOOKUP(PurchaseList_Table[[#This Row],[BL No]],ResultTable[BL], ResultTable[ETD], "")</f>
        <v/>
      </c>
      <c r="O6" s="71" t="str">
        <f>_xlfn.XLOOKUP(
    PurchaseList_Table[[#This Row],[BL No]],
    ResultTable[BL],
    ResultTable[ETA],
    "",
    0
)</f>
        <v/>
      </c>
      <c r="P6" s="50"/>
      <c r="Q6" s="43">
        <v>9775</v>
      </c>
      <c r="R6" s="43">
        <v>19227</v>
      </c>
      <c r="S6" s="36">
        <v>0</v>
      </c>
      <c r="T6" s="43">
        <v>9452</v>
      </c>
      <c r="U6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6" s="71" t="str">
        <f>IFERROR(IF(PurchaseList_Table[[#This Row],[Outstanding Amount]]="","",
   PurchaseList_Table[[#This Row],[ETD]] + PurchaseList_Table[[#This Row],[Credit Period]]
),"")</f>
        <v/>
      </c>
      <c r="W6" s="70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>23 Dry</v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22.74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 t="s">
        <v>117</v>
      </c>
      <c r="B7" s="36" t="s">
        <v>115</v>
      </c>
      <c r="C7" s="36" t="s">
        <v>123</v>
      </c>
      <c r="D7" s="45"/>
      <c r="E7" s="41"/>
      <c r="F7" s="59"/>
      <c r="G7" s="56" t="s">
        <v>124</v>
      </c>
      <c r="H7" s="36" t="s">
        <v>21</v>
      </c>
      <c r="I7" s="42">
        <v>22.864000000000001</v>
      </c>
      <c r="J7" s="70" t="str">
        <f>_xlfn.XLOOKUP(PurchaseList_Table[[#This Row],[BL No]],ResultTable[BL], ResultTable[Containers No.], "")</f>
        <v/>
      </c>
      <c r="K7" s="70" t="str">
        <f>_xlfn.XLOOKUP(PurchaseList_Table[[#This Row],[BL No]],ResultTable[BL], ResultTable[Container Type], "")</f>
        <v/>
      </c>
      <c r="L7" s="70" t="str">
        <f>_xlfn.XLOOKUP(PurchaseList_Table[[#This Row],[BL No]],ResultTable[BL], ResultTable[No. of Containers], "")</f>
        <v/>
      </c>
      <c r="M7" s="70">
        <f>IF(PurchaseList_Table[[#This Row],[ETA]]="", 2958465, VALUE(PurchaseList_Table[[#This Row],[ETA]]))</f>
        <v>2958465</v>
      </c>
      <c r="N7" s="71" t="str">
        <f>_xlfn.XLOOKUP(PurchaseList_Table[[#This Row],[BL No]],ResultTable[BL], ResultTable[ETD], "")</f>
        <v/>
      </c>
      <c r="O7" s="71" t="str">
        <f>_xlfn.XLOOKUP(
    PurchaseList_Table[[#This Row],[BL No]],
    ResultTable[BL],
    ResultTable[ETA],
    "",
    0
)</f>
        <v/>
      </c>
      <c r="P7" s="50"/>
      <c r="Q7" s="43">
        <v>9775</v>
      </c>
      <c r="R7" s="43">
        <v>19332.400000000001</v>
      </c>
      <c r="S7" s="36">
        <v>0</v>
      </c>
      <c r="T7" s="43">
        <v>9557.4</v>
      </c>
      <c r="U7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7" s="71" t="str">
        <f>IFERROR(IF(PurchaseList_Table[[#This Row],[Outstanding Amount]]="","",
   PurchaseList_Table[[#This Row],[ETD]] + PurchaseList_Table[[#This Row],[Credit Period]]
),"")</f>
        <v/>
      </c>
      <c r="W7" s="70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>23 Dry</v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22.864000000000001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 t="s">
        <v>117</v>
      </c>
      <c r="B8" s="36" t="s">
        <v>115</v>
      </c>
      <c r="C8" s="36" t="s">
        <v>123</v>
      </c>
      <c r="D8" s="45"/>
      <c r="E8" s="41"/>
      <c r="F8" s="59"/>
      <c r="G8" s="56" t="s">
        <v>125</v>
      </c>
      <c r="H8" s="36" t="s">
        <v>21</v>
      </c>
      <c r="I8" s="42">
        <v>23.032</v>
      </c>
      <c r="J8" s="70" t="str">
        <f>_xlfn.XLOOKUP(PurchaseList_Table[[#This Row],[BL No]],ResultTable[BL], ResultTable[Containers No.], "")</f>
        <v/>
      </c>
      <c r="K8" s="70" t="str">
        <f>_xlfn.XLOOKUP(PurchaseList_Table[[#This Row],[BL No]],ResultTable[BL], ResultTable[Container Type], "")</f>
        <v/>
      </c>
      <c r="L8" s="70" t="str">
        <f>_xlfn.XLOOKUP(PurchaseList_Table[[#This Row],[BL No]],ResultTable[BL], ResultTable[No. of Containers], "")</f>
        <v/>
      </c>
      <c r="M8" s="70">
        <f>IF(PurchaseList_Table[[#This Row],[ETA]]="", 2958465, VALUE(PurchaseList_Table[[#This Row],[ETA]]))</f>
        <v>2958465</v>
      </c>
      <c r="N8" s="71" t="str">
        <f>_xlfn.XLOOKUP(PurchaseList_Table[[#This Row],[BL No]],ResultTable[BL], ResultTable[ETD], "")</f>
        <v/>
      </c>
      <c r="O8" s="71" t="str">
        <f>_xlfn.XLOOKUP(
    PurchaseList_Table[[#This Row],[BL No]],
    ResultTable[BL],
    ResultTable[ETA],
    "",
    0
)</f>
        <v/>
      </c>
      <c r="P8" s="50"/>
      <c r="Q8" s="43">
        <v>9775</v>
      </c>
      <c r="R8" s="43">
        <v>19475.2</v>
      </c>
      <c r="S8" s="36">
        <v>0</v>
      </c>
      <c r="T8" s="43">
        <v>9700.2000000000007</v>
      </c>
      <c r="U8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8" s="71" t="str">
        <f>IFERROR(IF(PurchaseList_Table[[#This Row],[Outstanding Amount]]="","",
   PurchaseList_Table[[#This Row],[ETD]] + PurchaseList_Table[[#This Row],[Credit Period]]
),"")</f>
        <v/>
      </c>
      <c r="W8" s="70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>23 Dry</v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23.032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 t="s">
        <v>117</v>
      </c>
      <c r="B9" s="36" t="s">
        <v>115</v>
      </c>
      <c r="C9" s="36" t="s">
        <v>126</v>
      </c>
      <c r="D9" s="45"/>
      <c r="E9" s="41"/>
      <c r="F9" s="59"/>
      <c r="G9" s="56" t="s">
        <v>62</v>
      </c>
      <c r="H9" s="36" t="s">
        <v>21</v>
      </c>
      <c r="I9" s="42">
        <v>23.6</v>
      </c>
      <c r="J9" s="70" t="str">
        <f>_xlfn.XLOOKUP(PurchaseList_Table[[#This Row],[BL No]],ResultTable[BL], ResultTable[Containers No.], "")</f>
        <v/>
      </c>
      <c r="K9" s="70" t="str">
        <f>_xlfn.XLOOKUP(PurchaseList_Table[[#This Row],[BL No]],ResultTable[BL], ResultTable[Container Type], "")</f>
        <v/>
      </c>
      <c r="L9" s="70" t="str">
        <f>_xlfn.XLOOKUP(PurchaseList_Table[[#This Row],[BL No]],ResultTable[BL], ResultTable[No. of Containers], "")</f>
        <v/>
      </c>
      <c r="M9" s="70">
        <f>IF(PurchaseList_Table[[#This Row],[ETA]]="", 2958465, VALUE(PurchaseList_Table[[#This Row],[ETA]]))</f>
        <v>2958465</v>
      </c>
      <c r="N9" s="71" t="str">
        <f>_xlfn.XLOOKUP(PurchaseList_Table[[#This Row],[BL No]],ResultTable[BL], ResultTable[ETD], "")</f>
        <v/>
      </c>
      <c r="O9" s="71" t="str">
        <f>_xlfn.XLOOKUP(
    PurchaseList_Table[[#This Row],[BL No]],
    ResultTable[BL],
    ResultTable[ETA],
    "",
    0
)</f>
        <v/>
      </c>
      <c r="P9" s="50"/>
      <c r="Q9" s="43">
        <v>7710</v>
      </c>
      <c r="R9" s="43">
        <v>16632.91</v>
      </c>
      <c r="S9" s="36">
        <v>0</v>
      </c>
      <c r="T9" s="43">
        <v>8922.91</v>
      </c>
      <c r="U9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9" s="71" t="str">
        <f>IFERROR(IF(PurchaseList_Table[[#This Row],[Outstanding Amount]]="","",
   PurchaseList_Table[[#This Row],[ETD]] + PurchaseList_Table[[#This Row],[Credit Period]]
),"")</f>
        <v/>
      </c>
      <c r="W9" s="70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>30 jumbo</v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23.6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 t="s">
        <v>117</v>
      </c>
      <c r="B10" s="36" t="s">
        <v>115</v>
      </c>
      <c r="C10" s="36" t="s">
        <v>126</v>
      </c>
      <c r="D10" s="45"/>
      <c r="E10" s="41"/>
      <c r="F10" s="59"/>
      <c r="G10" s="56" t="s">
        <v>61</v>
      </c>
      <c r="H10" s="36" t="s">
        <v>21</v>
      </c>
      <c r="I10" s="42">
        <v>20.100000000000001</v>
      </c>
      <c r="J10" s="70" t="str">
        <f>_xlfn.XLOOKUP(PurchaseList_Table[[#This Row],[BL No]],ResultTable[BL], ResultTable[Containers No.], "")</f>
        <v/>
      </c>
      <c r="K10" s="70" t="str">
        <f>_xlfn.XLOOKUP(PurchaseList_Table[[#This Row],[BL No]],ResultTable[BL], ResultTable[Container Type], "")</f>
        <v/>
      </c>
      <c r="L10" s="70" t="str">
        <f>_xlfn.XLOOKUP(PurchaseList_Table[[#This Row],[BL No]],ResultTable[BL], ResultTable[No. of Containers], "")</f>
        <v/>
      </c>
      <c r="M10" s="70">
        <f>IF(PurchaseList_Table[[#This Row],[ETA]]="", 2958465, VALUE(PurchaseList_Table[[#This Row],[ETA]]))</f>
        <v>2958465</v>
      </c>
      <c r="N10" s="71" t="str">
        <f>_xlfn.XLOOKUP(PurchaseList_Table[[#This Row],[BL No]],ResultTable[BL], ResultTable[ETD], "")</f>
        <v/>
      </c>
      <c r="O10" s="71" t="str">
        <f>_xlfn.XLOOKUP(
    PurchaseList_Table[[#This Row],[BL No]],
    ResultTable[BL],
    ResultTable[ETA],
    "",
    0
)</f>
        <v/>
      </c>
      <c r="P10" s="50"/>
      <c r="Q10" s="43">
        <v>7710</v>
      </c>
      <c r="R10" s="43">
        <v>14131.61</v>
      </c>
      <c r="S10" s="36">
        <v>0</v>
      </c>
      <c r="T10" s="43">
        <v>6421.61</v>
      </c>
      <c r="U10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0" s="71" t="str">
        <f>IFERROR(IF(PurchaseList_Table[[#This Row],[Outstanding Amount]]="","",
   PurchaseList_Table[[#This Row],[ETD]] + PurchaseList_Table[[#This Row],[Credit Period]]
),"")</f>
        <v/>
      </c>
      <c r="W10" s="70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>30 jumbo</v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20.100000000000001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 t="s">
        <v>117</v>
      </c>
      <c r="B11" s="36" t="s">
        <v>115</v>
      </c>
      <c r="C11" s="36" t="s">
        <v>126</v>
      </c>
      <c r="D11" s="45"/>
      <c r="E11" s="41"/>
      <c r="F11" s="59"/>
      <c r="G11" s="56" t="s">
        <v>127</v>
      </c>
      <c r="H11" s="36" t="s">
        <v>21</v>
      </c>
      <c r="I11" s="42">
        <v>22.47</v>
      </c>
      <c r="J11" s="70" t="str">
        <f>_xlfn.XLOOKUP(PurchaseList_Table[[#This Row],[BL No]],ResultTable[BL], ResultTable[Containers No.], "")</f>
        <v/>
      </c>
      <c r="K11" s="70" t="str">
        <f>_xlfn.XLOOKUP(PurchaseList_Table[[#This Row],[BL No]],ResultTable[BL], ResultTable[Container Type], "")</f>
        <v/>
      </c>
      <c r="L11" s="70" t="str">
        <f>_xlfn.XLOOKUP(PurchaseList_Table[[#This Row],[BL No]],ResultTable[BL], ResultTable[No. of Containers], "")</f>
        <v/>
      </c>
      <c r="M11" s="70">
        <f>IF(PurchaseList_Table[[#This Row],[ETA]]="", 2958465, VALUE(PurchaseList_Table[[#This Row],[ETA]]))</f>
        <v>2958465</v>
      </c>
      <c r="N11" s="71" t="str">
        <f>_xlfn.XLOOKUP(PurchaseList_Table[[#This Row],[BL No]],ResultTable[BL], ResultTable[ETD], "")</f>
        <v/>
      </c>
      <c r="O11" s="71" t="str">
        <f>_xlfn.XLOOKUP(
    PurchaseList_Table[[#This Row],[BL No]],
    ResultTable[BL],
    ResultTable[ETA],
    "",
    0
)</f>
        <v/>
      </c>
      <c r="P11" s="50"/>
      <c r="Q11" s="43">
        <v>7710</v>
      </c>
      <c r="R11" s="43">
        <v>15862.73</v>
      </c>
      <c r="S11" s="36">
        <v>0</v>
      </c>
      <c r="T11" s="43">
        <v>8152.73</v>
      </c>
      <c r="U11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1" s="71" t="str">
        <f>IFERROR(IF(PurchaseList_Table[[#This Row],[Outstanding Amount]]="","",
   PurchaseList_Table[[#This Row],[ETD]] + PurchaseList_Table[[#This Row],[Credit Period]]
),"")</f>
        <v/>
      </c>
      <c r="W11" s="70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>30 jumbo</v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22.47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 t="s">
        <v>117</v>
      </c>
      <c r="B12" s="36" t="s">
        <v>115</v>
      </c>
      <c r="C12" s="36" t="s">
        <v>126</v>
      </c>
      <c r="D12" s="45"/>
      <c r="E12" s="41"/>
      <c r="F12" s="59"/>
      <c r="G12" s="56" t="s">
        <v>128</v>
      </c>
      <c r="H12" s="36" t="s">
        <v>21</v>
      </c>
      <c r="I12" s="42">
        <v>22.1</v>
      </c>
      <c r="J12" s="70" t="str">
        <f>_xlfn.XLOOKUP(PurchaseList_Table[[#This Row],[BL No]],ResultTable[BL], ResultTable[Containers No.], "")</f>
        <v/>
      </c>
      <c r="K12" s="70" t="str">
        <f>_xlfn.XLOOKUP(PurchaseList_Table[[#This Row],[BL No]],ResultTable[BL], ResultTable[Container Type], "")</f>
        <v/>
      </c>
      <c r="L12" s="70" t="str">
        <f>_xlfn.XLOOKUP(PurchaseList_Table[[#This Row],[BL No]],ResultTable[BL], ResultTable[No. of Containers], "")</f>
        <v/>
      </c>
      <c r="M12" s="70">
        <f>IF(PurchaseList_Table[[#This Row],[ETA]]="", 2958465, VALUE(PurchaseList_Table[[#This Row],[ETA]]))</f>
        <v>2958465</v>
      </c>
      <c r="N12" s="71" t="str">
        <f>_xlfn.XLOOKUP(PurchaseList_Table[[#This Row],[BL No]],ResultTable[BL], ResultTable[ETD], "")</f>
        <v/>
      </c>
      <c r="O12" s="71" t="str">
        <f>_xlfn.XLOOKUP(
    PurchaseList_Table[[#This Row],[BL No]],
    ResultTable[BL],
    ResultTable[ETA],
    "",
    0
)</f>
        <v/>
      </c>
      <c r="P12" s="50"/>
      <c r="Q12" s="43">
        <v>7710</v>
      </c>
      <c r="R12" s="43">
        <v>15558.9</v>
      </c>
      <c r="S12" s="36">
        <v>0</v>
      </c>
      <c r="T12" s="43">
        <v>7848.9</v>
      </c>
      <c r="U12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2" s="71" t="str">
        <f>IFERROR(IF(PurchaseList_Table[[#This Row],[Outstanding Amount]]="","",
   PurchaseList_Table[[#This Row],[ETD]] + PurchaseList_Table[[#This Row],[Credit Period]]
),"")</f>
        <v/>
      </c>
      <c r="W12" s="70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>30 jumbo</v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22.1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 t="s">
        <v>117</v>
      </c>
      <c r="B13" s="36" t="s">
        <v>115</v>
      </c>
      <c r="C13" s="36" t="s">
        <v>126</v>
      </c>
      <c r="D13" s="45"/>
      <c r="E13" s="41"/>
      <c r="F13" s="59"/>
      <c r="G13" s="56" t="s">
        <v>129</v>
      </c>
      <c r="H13" s="36" t="s">
        <v>21</v>
      </c>
      <c r="I13" s="42">
        <v>21.2</v>
      </c>
      <c r="J13" s="70" t="str">
        <f>_xlfn.XLOOKUP(PurchaseList_Table[[#This Row],[BL No]],ResultTable[BL], ResultTable[Containers No.], "")</f>
        <v/>
      </c>
      <c r="K13" s="70" t="str">
        <f>_xlfn.XLOOKUP(PurchaseList_Table[[#This Row],[BL No]],ResultTable[BL], ResultTable[Container Type], "")</f>
        <v/>
      </c>
      <c r="L13" s="70" t="str">
        <f>_xlfn.XLOOKUP(PurchaseList_Table[[#This Row],[BL No]],ResultTable[BL], ResultTable[No. of Containers], "")</f>
        <v/>
      </c>
      <c r="M13" s="70">
        <f>IF(PurchaseList_Table[[#This Row],[ETA]]="", 2958465, VALUE(PurchaseList_Table[[#This Row],[ETA]]))</f>
        <v>2958465</v>
      </c>
      <c r="N13" s="71" t="str">
        <f>_xlfn.XLOOKUP(PurchaseList_Table[[#This Row],[BL No]],ResultTable[BL], ResultTable[ETD], "")</f>
        <v/>
      </c>
      <c r="O13" s="71" t="str">
        <f>_xlfn.XLOOKUP(
    PurchaseList_Table[[#This Row],[BL No]],
    ResultTable[BL],
    ResultTable[ETA],
    "",
    0
)</f>
        <v/>
      </c>
      <c r="P13" s="50"/>
      <c r="Q13" s="43">
        <v>7710</v>
      </c>
      <c r="R13" s="43">
        <v>14908.85</v>
      </c>
      <c r="S13" s="36">
        <v>0</v>
      </c>
      <c r="T13" s="43">
        <v>7198.85</v>
      </c>
      <c r="U13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3" s="71" t="str">
        <f>IFERROR(IF(PurchaseList_Table[[#This Row],[Outstanding Amount]]="","",
   PurchaseList_Table[[#This Row],[ETD]] + PurchaseList_Table[[#This Row],[Credit Period]]
),"")</f>
        <v/>
      </c>
      <c r="W13" s="70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>30 jumbo</v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21.2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 t="s">
        <v>117</v>
      </c>
      <c r="B14" s="36" t="s">
        <v>118</v>
      </c>
      <c r="C14" s="36" t="s">
        <v>130</v>
      </c>
      <c r="D14" s="45"/>
      <c r="E14" s="41"/>
      <c r="F14" s="59"/>
      <c r="G14" s="56" t="s">
        <v>59</v>
      </c>
      <c r="H14" s="36" t="s">
        <v>26</v>
      </c>
      <c r="I14" s="42">
        <v>26.95</v>
      </c>
      <c r="J14" s="70" t="str">
        <f>_xlfn.XLOOKUP(PurchaseList_Table[[#This Row],[BL No]],ResultTable[BL], ResultTable[Containers No.], "")</f>
        <v/>
      </c>
      <c r="K14" s="70" t="str">
        <f>_xlfn.XLOOKUP(PurchaseList_Table[[#This Row],[BL No]],ResultTable[BL], ResultTable[Container Type], "")</f>
        <v/>
      </c>
      <c r="L14" s="70" t="str">
        <f>_xlfn.XLOOKUP(PurchaseList_Table[[#This Row],[BL No]],ResultTable[BL], ResultTable[No. of Containers], "")</f>
        <v/>
      </c>
      <c r="M14" s="70">
        <f>IF(PurchaseList_Table[[#This Row],[ETA]]="", 2958465, VALUE(PurchaseList_Table[[#This Row],[ETA]]))</f>
        <v>2958465</v>
      </c>
      <c r="N14" s="71" t="str">
        <f>_xlfn.XLOOKUP(PurchaseList_Table[[#This Row],[BL No]],ResultTable[BL], ResultTable[ETD], "")</f>
        <v/>
      </c>
      <c r="O14" s="71" t="str">
        <f>_xlfn.XLOOKUP(
    PurchaseList_Table[[#This Row],[BL No]],
    ResultTable[BL],
    ResultTable[ETA],
    "",
    0
)</f>
        <v/>
      </c>
      <c r="P14" s="50"/>
      <c r="Q14" s="43">
        <v>0</v>
      </c>
      <c r="R14" s="43">
        <v>29288.04</v>
      </c>
      <c r="S14" s="36">
        <v>0</v>
      </c>
      <c r="T14" s="43">
        <v>29288.04</v>
      </c>
      <c r="U14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4" s="71" t="str">
        <f>IFERROR(IF(PurchaseList_Table[[#This Row],[Outstanding Amount]]="","",
   PurchaseList_Table[[#This Row],[ETD]] + PurchaseList_Table[[#This Row],[Credit Period]]
),"")</f>
        <v/>
      </c>
      <c r="W14" s="70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>JUMBO + REGULAR</v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26.95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 t="s">
        <v>117</v>
      </c>
      <c r="B15" s="36" t="s">
        <v>118</v>
      </c>
      <c r="C15" s="36" t="s">
        <v>119</v>
      </c>
      <c r="D15" s="45"/>
      <c r="E15" s="41"/>
      <c r="F15" s="59"/>
      <c r="G15" s="56" t="s">
        <v>131</v>
      </c>
      <c r="H15" s="36" t="s">
        <v>26</v>
      </c>
      <c r="I15" s="42">
        <v>28.25</v>
      </c>
      <c r="J15" s="70" t="str">
        <f>_xlfn.XLOOKUP(PurchaseList_Table[[#This Row],[BL No]],ResultTable[BL], ResultTable[Containers No.], "")</f>
        <v/>
      </c>
      <c r="K15" s="70" t="str">
        <f>_xlfn.XLOOKUP(PurchaseList_Table[[#This Row],[BL No]],ResultTable[BL], ResultTable[Container Type], "")</f>
        <v/>
      </c>
      <c r="L15" s="70" t="str">
        <f>_xlfn.XLOOKUP(PurchaseList_Table[[#This Row],[BL No]],ResultTable[BL], ResultTable[No. of Containers], "")</f>
        <v/>
      </c>
      <c r="M15" s="70">
        <f>IF(PurchaseList_Table[[#This Row],[ETA]]="", 2958465, VALUE(PurchaseList_Table[[#This Row],[ETA]]))</f>
        <v>2958465</v>
      </c>
      <c r="N15" s="71" t="str">
        <f>_xlfn.XLOOKUP(PurchaseList_Table[[#This Row],[BL No]],ResultTable[BL], ResultTable[ETD], "")</f>
        <v/>
      </c>
      <c r="O15" s="71" t="str">
        <f>_xlfn.XLOOKUP(
    PurchaseList_Table[[#This Row],[BL No]],
    ResultTable[BL],
    ResultTable[ETA],
    "",
    0
)</f>
        <v/>
      </c>
      <c r="P15" s="50"/>
      <c r="Q15" s="43">
        <v>0</v>
      </c>
      <c r="R15" s="43">
        <v>0</v>
      </c>
      <c r="S15" s="36">
        <v>0</v>
      </c>
      <c r="T15" s="43"/>
      <c r="U15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5" s="71" t="str">
        <f>IFERROR(IF(PurchaseList_Table[[#This Row],[Outstanding Amount]]="","",
   PurchaseList_Table[[#This Row],[ETD]] + PurchaseList_Table[[#This Row],[Credit Period]]
),"")</f>
        <v/>
      </c>
      <c r="W15" s="70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>REGULAR</v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28.25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 t="s">
        <v>117</v>
      </c>
      <c r="B16" s="36" t="s">
        <v>115</v>
      </c>
      <c r="C16" s="36" t="s">
        <v>134</v>
      </c>
      <c r="D16" s="45"/>
      <c r="E16" s="41"/>
      <c r="F16" s="59"/>
      <c r="G16" s="56" t="s">
        <v>135</v>
      </c>
      <c r="H16" s="36" t="s">
        <v>28</v>
      </c>
      <c r="I16" s="42">
        <v>21.594999999999999</v>
      </c>
      <c r="J16" s="70" t="str">
        <f>_xlfn.XLOOKUP(PurchaseList_Table[[#This Row],[BL No]],ResultTable[BL], ResultTable[Containers No.], "")</f>
        <v/>
      </c>
      <c r="K16" s="70" t="str">
        <f>_xlfn.XLOOKUP(PurchaseList_Table[[#This Row],[BL No]],ResultTable[BL], ResultTable[Container Type], "")</f>
        <v/>
      </c>
      <c r="L16" s="70" t="str">
        <f>_xlfn.XLOOKUP(PurchaseList_Table[[#This Row],[BL No]],ResultTable[BL], ResultTable[No. of Containers], "")</f>
        <v/>
      </c>
      <c r="M16" s="70">
        <f>IF(PurchaseList_Table[[#This Row],[ETA]]="", 2958465, VALUE(PurchaseList_Table[[#This Row],[ETA]]))</f>
        <v>2958465</v>
      </c>
      <c r="N16" s="71" t="str">
        <f>_xlfn.XLOOKUP(PurchaseList_Table[[#This Row],[BL No]],ResultTable[BL], ResultTable[ETD], "")</f>
        <v/>
      </c>
      <c r="O16" s="71" t="str">
        <f>_xlfn.XLOOKUP(
    PurchaseList_Table[[#This Row],[BL No]],
    ResultTable[BL],
    ResultTable[ETA],
    "",
    0
)</f>
        <v/>
      </c>
      <c r="P16" s="50"/>
      <c r="Q16" s="43">
        <v>7360</v>
      </c>
      <c r="R16" s="43">
        <v>13626.74</v>
      </c>
      <c r="S16" s="36">
        <v>0</v>
      </c>
      <c r="T16" s="43">
        <v>6266.74</v>
      </c>
      <c r="U16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6" s="71" t="str">
        <f>IFERROR(IF(PurchaseList_Table[[#This Row],[Outstanding Amount]]="","",
   PurchaseList_Table[[#This Row],[ETD]] + PurchaseList_Table[[#This Row],[Credit Period]]
),"")</f>
        <v/>
      </c>
      <c r="W16" s="70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>OFFCUT</v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21.594999999999999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 t="s">
        <v>117</v>
      </c>
      <c r="B17" s="36" t="s">
        <v>115</v>
      </c>
      <c r="C17" s="36" t="s">
        <v>136</v>
      </c>
      <c r="D17" s="45"/>
      <c r="E17" s="41"/>
      <c r="F17" s="59"/>
      <c r="G17" s="56" t="s">
        <v>137</v>
      </c>
      <c r="H17" s="36" t="s">
        <v>28</v>
      </c>
      <c r="I17" s="42">
        <v>22.72</v>
      </c>
      <c r="J17" s="70" t="str">
        <f>_xlfn.XLOOKUP(PurchaseList_Table[[#This Row],[BL No]],ResultTable[BL], ResultTable[Containers No.], "")</f>
        <v/>
      </c>
      <c r="K17" s="70" t="str">
        <f>_xlfn.XLOOKUP(PurchaseList_Table[[#This Row],[BL No]],ResultTable[BL], ResultTable[Container Type], "")</f>
        <v/>
      </c>
      <c r="L17" s="70" t="str">
        <f>_xlfn.XLOOKUP(PurchaseList_Table[[#This Row],[BL No]],ResultTable[BL], ResultTable[No. of Containers], "")</f>
        <v/>
      </c>
      <c r="M17" s="70">
        <f>IF(PurchaseList_Table[[#This Row],[ETA]]="", 2958465, VALUE(PurchaseList_Table[[#This Row],[ETA]]))</f>
        <v>2958465</v>
      </c>
      <c r="N17" s="71" t="str">
        <f>_xlfn.XLOOKUP(PurchaseList_Table[[#This Row],[BL No]],ResultTable[BL], ResultTable[ETD], "")</f>
        <v/>
      </c>
      <c r="O17" s="71" t="str">
        <f>_xlfn.XLOOKUP(
    PurchaseList_Table[[#This Row],[BL No]],
    ResultTable[BL],
    ResultTable[ETA],
    "",
    0
)</f>
        <v/>
      </c>
      <c r="P17" s="50"/>
      <c r="Q17" s="43">
        <v>7889</v>
      </c>
      <c r="R17" s="43">
        <v>15678</v>
      </c>
      <c r="S17" s="36">
        <v>0</v>
      </c>
      <c r="T17" s="43">
        <v>7789</v>
      </c>
      <c r="U17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7" s="71" t="str">
        <f>IFERROR(IF(PurchaseList_Table[[#This Row],[Outstanding Amount]]="","",
   PurchaseList_Table[[#This Row],[ETD]] + PurchaseList_Table[[#This Row],[Credit Period]]
),"")</f>
        <v/>
      </c>
      <c r="W17" s="70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>30 JUMBO + OFFCUTS</v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 t="s">
        <v>117</v>
      </c>
      <c r="B18" s="36" t="s">
        <v>115</v>
      </c>
      <c r="C18" s="36" t="s">
        <v>144</v>
      </c>
      <c r="D18" s="45">
        <v>46013</v>
      </c>
      <c r="E18" s="41" t="s">
        <v>145</v>
      </c>
      <c r="F18" s="36"/>
      <c r="G18" s="41" t="s">
        <v>146</v>
      </c>
      <c r="H18" s="36" t="s">
        <v>28</v>
      </c>
      <c r="I18" s="42">
        <v>23.765999999999998</v>
      </c>
      <c r="J18" s="70" t="str">
        <f>_xlfn.XLOOKUP(PurchaseList_Table[[#This Row],[BL No]],ResultTable[BL], ResultTable[Containers No.], "")</f>
        <v/>
      </c>
      <c r="K18" s="70" t="str">
        <f>_xlfn.XLOOKUP(PurchaseList_Table[[#This Row],[BL No]],ResultTable[BL], ResultTable[Container Type], "")</f>
        <v/>
      </c>
      <c r="L18" s="70" t="str">
        <f>_xlfn.XLOOKUP(PurchaseList_Table[[#This Row],[BL No]],ResultTable[BL], ResultTable[No. of Containers], "")</f>
        <v/>
      </c>
      <c r="M18" s="70">
        <f>IF(PurchaseList_Table[[#This Row],[ETA]]="", 2958465, VALUE(PurchaseList_Table[[#This Row],[ETA]]))</f>
        <v>2958465</v>
      </c>
      <c r="N18" s="71" t="str">
        <f>_xlfn.XLOOKUP(PurchaseList_Table[[#This Row],[BL No]],ResultTable[BL], ResultTable[ETD], "")</f>
        <v/>
      </c>
      <c r="O18" s="71" t="str">
        <f>_xlfn.XLOOKUP(
    PurchaseList_Table[[#This Row],[BL No]],
    ResultTable[BL],
    ResultTable[ETA],
    "",
    0
)</f>
        <v/>
      </c>
      <c r="P18" s="50"/>
      <c r="Q18" s="43">
        <v>8240</v>
      </c>
      <c r="R18" s="43">
        <v>16496</v>
      </c>
      <c r="S18" s="36">
        <v>0</v>
      </c>
      <c r="T18" s="43">
        <v>8256</v>
      </c>
      <c r="U18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8" s="71" t="str">
        <f>IFERROR(IF(PurchaseList_Table[[#This Row],[Outstanding Amount]]="","",
   PurchaseList_Table[[#This Row],[ETD]] + PurchaseList_Table[[#This Row],[Credit Period]]
),"")</f>
        <v/>
      </c>
      <c r="W18" s="70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>23/27/30 PRIME + OFFCUTS</v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23.765999999999998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 t="s">
        <v>117</v>
      </c>
      <c r="B19" s="36" t="s">
        <v>138</v>
      </c>
      <c r="C19" s="36" t="s">
        <v>119</v>
      </c>
      <c r="D19" s="45"/>
      <c r="E19" s="41"/>
      <c r="F19" s="59"/>
      <c r="G19" s="56" t="s">
        <v>139</v>
      </c>
      <c r="H19" s="36" t="s">
        <v>19</v>
      </c>
      <c r="I19" s="42">
        <v>27.32</v>
      </c>
      <c r="J19" s="70" t="str">
        <f>_xlfn.XLOOKUP(PurchaseList_Table[[#This Row],[BL No]],ResultTable[BL], ResultTable[Containers No.], "")</f>
        <v/>
      </c>
      <c r="K19" s="70" t="str">
        <f>_xlfn.XLOOKUP(PurchaseList_Table[[#This Row],[BL No]],ResultTable[BL], ResultTable[Container Type], "")</f>
        <v/>
      </c>
      <c r="L19" s="70" t="str">
        <f>_xlfn.XLOOKUP(PurchaseList_Table[[#This Row],[BL No]],ResultTable[BL], ResultTable[No. of Containers], "")</f>
        <v/>
      </c>
      <c r="M19" s="70">
        <f>IF(PurchaseList_Table[[#This Row],[ETA]]="", 2958465, VALUE(PurchaseList_Table[[#This Row],[ETA]]))</f>
        <v>2958465</v>
      </c>
      <c r="N19" s="71" t="str">
        <f>_xlfn.XLOOKUP(PurchaseList_Table[[#This Row],[BL No]],ResultTable[BL], ResultTable[ETD], "")</f>
        <v/>
      </c>
      <c r="O19" s="71" t="str">
        <f>_xlfn.XLOOKUP(
    PurchaseList_Table[[#This Row],[BL No]],
    ResultTable[BL],
    ResultTable[ETA],
    "",
    0
)</f>
        <v/>
      </c>
      <c r="P19" s="50"/>
      <c r="Q19" s="43">
        <v>3825</v>
      </c>
      <c r="R19" s="43">
        <v>13708.8</v>
      </c>
      <c r="S19" s="36">
        <v>0</v>
      </c>
      <c r="T19" s="43">
        <v>9883.7999999999993</v>
      </c>
      <c r="U19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9" s="71" t="str">
        <f>IFERROR(IF(PurchaseList_Table[[#This Row],[Outstanding Amount]]="","",
   PurchaseList_Table[[#This Row],[ETD]] + PurchaseList_Table[[#This Row],[Credit Period]]
),"")</f>
        <v/>
      </c>
      <c r="W19" s="70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>REGULAR</v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27.32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31.5" customHeight="1" x14ac:dyDescent="0.25">
      <c r="A20" s="36" t="s">
        <v>117</v>
      </c>
      <c r="B20" s="36" t="s">
        <v>138</v>
      </c>
      <c r="C20" s="36" t="s">
        <v>119</v>
      </c>
      <c r="D20" s="45"/>
      <c r="E20" s="41"/>
      <c r="F20" s="59"/>
      <c r="G20" s="56" t="s">
        <v>140</v>
      </c>
      <c r="H20" s="36" t="s">
        <v>19</v>
      </c>
      <c r="I20" s="42">
        <v>27.68</v>
      </c>
      <c r="J20" s="70" t="str">
        <f>_xlfn.XLOOKUP(PurchaseList_Table[[#This Row],[BL No]],ResultTable[BL], ResultTable[Containers No.], "")</f>
        <v/>
      </c>
      <c r="K20" s="70" t="str">
        <f>_xlfn.XLOOKUP(PurchaseList_Table[[#This Row],[BL No]],ResultTable[BL], ResultTable[Container Type], "")</f>
        <v/>
      </c>
      <c r="L20" s="70" t="str">
        <f>_xlfn.XLOOKUP(PurchaseList_Table[[#This Row],[BL No]],ResultTable[BL], ResultTable[No. of Containers], "")</f>
        <v/>
      </c>
      <c r="M20" s="70">
        <f>IF(PurchaseList_Table[[#This Row],[ETA]]="", 2958465, VALUE(PurchaseList_Table[[#This Row],[ETA]]))</f>
        <v>2958465</v>
      </c>
      <c r="N20" s="71" t="str">
        <f>_xlfn.XLOOKUP(PurchaseList_Table[[#This Row],[BL No]],ResultTable[BL], ResultTable[ETD], "")</f>
        <v/>
      </c>
      <c r="O20" s="71" t="str">
        <f>_xlfn.XLOOKUP(
    PurchaseList_Table[[#This Row],[BL No]],
    ResultTable[BL],
    ResultTable[ETA],
    "",
    0
)</f>
        <v/>
      </c>
      <c r="P20" s="50"/>
      <c r="Q20" s="43">
        <v>3825</v>
      </c>
      <c r="R20" s="43">
        <v>13912.8</v>
      </c>
      <c r="S20" s="36">
        <v>0</v>
      </c>
      <c r="T20" s="43">
        <v>10087.799999999999</v>
      </c>
      <c r="U20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0" s="71" t="str">
        <f>IFERROR(IF(PurchaseList_Table[[#This Row],[Outstanding Amount]]="","",
   PurchaseList_Table[[#This Row],[ETD]] + PurchaseList_Table[[#This Row],[Credit Period]]
),"")</f>
        <v/>
      </c>
      <c r="W20" s="70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>REGULAR</v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27.68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27" customHeight="1" x14ac:dyDescent="0.25">
      <c r="A21" s="36" t="s">
        <v>117</v>
      </c>
      <c r="B21" s="36" t="s">
        <v>138</v>
      </c>
      <c r="C21" s="36" t="s">
        <v>120</v>
      </c>
      <c r="D21" s="45"/>
      <c r="E21" s="41"/>
      <c r="F21" s="59"/>
      <c r="G21" s="56" t="s">
        <v>141</v>
      </c>
      <c r="H21" s="36" t="s">
        <v>19</v>
      </c>
      <c r="I21" s="42">
        <v>27.8</v>
      </c>
      <c r="J21" s="70" t="str">
        <f>_xlfn.XLOOKUP(PurchaseList_Table[[#This Row],[BL No]],ResultTable[BL], ResultTable[Containers No.], "")</f>
        <v/>
      </c>
      <c r="K21" s="70" t="str">
        <f>_xlfn.XLOOKUP(PurchaseList_Table[[#This Row],[BL No]],ResultTable[BL], ResultTable[Container Type], "")</f>
        <v/>
      </c>
      <c r="L21" s="70" t="str">
        <f>_xlfn.XLOOKUP(PurchaseList_Table[[#This Row],[BL No]],ResultTable[BL], ResultTable[No. of Containers], "")</f>
        <v/>
      </c>
      <c r="M21" s="70">
        <f>IF(PurchaseList_Table[[#This Row],[ETA]]="", 2958465, VALUE(PurchaseList_Table[[#This Row],[ETA]]))</f>
        <v>2958465</v>
      </c>
      <c r="N21" s="71" t="str">
        <f>_xlfn.XLOOKUP(PurchaseList_Table[[#This Row],[BL No]],ResultTable[BL], ResultTable[ETD], "")</f>
        <v/>
      </c>
      <c r="O21" s="71" t="str">
        <f>_xlfn.XLOOKUP(
    PurchaseList_Table[[#This Row],[BL No]],
    ResultTable[BL],
    ResultTable[ETA],
    "",
    0
)</f>
        <v/>
      </c>
      <c r="P21" s="50"/>
      <c r="Q21" s="43">
        <v>3825</v>
      </c>
      <c r="R21" s="43">
        <v>13953.6</v>
      </c>
      <c r="S21" s="36">
        <v>0</v>
      </c>
      <c r="T21" s="43">
        <v>10128.6</v>
      </c>
      <c r="U21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1" s="71" t="str">
        <f>IFERROR(IF(PurchaseList_Table[[#This Row],[Outstanding Amount]]="","",
   PurchaseList_Table[[#This Row],[ETD]] + PurchaseList_Table[[#This Row],[Credit Period]]
),"")</f>
        <v/>
      </c>
      <c r="W21" s="70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>JUMBO</v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27.8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 t="s">
        <v>117</v>
      </c>
      <c r="B22" s="36" t="s">
        <v>138</v>
      </c>
      <c r="C22" s="36" t="s">
        <v>119</v>
      </c>
      <c r="D22" s="45"/>
      <c r="E22" s="41"/>
      <c r="F22" s="59"/>
      <c r="G22" s="56" t="s">
        <v>142</v>
      </c>
      <c r="H22" s="36" t="s">
        <v>19</v>
      </c>
      <c r="I22" s="42">
        <v>26</v>
      </c>
      <c r="J22" s="70" t="str">
        <f>_xlfn.XLOOKUP(PurchaseList_Table[[#This Row],[BL No]],ResultTable[BL], ResultTable[Containers No.], "")</f>
        <v/>
      </c>
      <c r="K22" s="70" t="str">
        <f>_xlfn.XLOOKUP(PurchaseList_Table[[#This Row],[BL No]],ResultTable[BL], ResultTable[Container Type], "")</f>
        <v/>
      </c>
      <c r="L22" s="70" t="str">
        <f>_xlfn.XLOOKUP(PurchaseList_Table[[#This Row],[BL No]],ResultTable[BL], ResultTable[No. of Containers], "")</f>
        <v/>
      </c>
      <c r="M22" s="70">
        <f>IF(PurchaseList_Table[[#This Row],[ETA]]="", 2958465, VALUE(PurchaseList_Table[[#This Row],[ETA]]))</f>
        <v>2958465</v>
      </c>
      <c r="N22" s="71" t="str">
        <f>_xlfn.XLOOKUP(PurchaseList_Table[[#This Row],[BL No]],ResultTable[BL], ResultTable[ETD], "")</f>
        <v/>
      </c>
      <c r="O22" s="71" t="str">
        <f>_xlfn.XLOOKUP(
    PurchaseList_Table[[#This Row],[BL No]],
    ResultTable[BL],
    ResultTable[ETA],
    "",
    0
)</f>
        <v/>
      </c>
      <c r="P22" s="50"/>
      <c r="Q22" s="43">
        <v>3825</v>
      </c>
      <c r="R22" s="43">
        <v>13056</v>
      </c>
      <c r="S22" s="36">
        <v>0</v>
      </c>
      <c r="T22" s="43">
        <v>9231</v>
      </c>
      <c r="U22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2" s="71" t="str">
        <f>IFERROR(IF(PurchaseList_Table[[#This Row],[Outstanding Amount]]="","",
   PurchaseList_Table[[#This Row],[ETD]] + PurchaseList_Table[[#This Row],[Credit Period]]
),"")</f>
        <v/>
      </c>
      <c r="W22" s="70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>REGULAR</v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 t="s">
        <v>117</v>
      </c>
      <c r="B23" s="36" t="s">
        <v>115</v>
      </c>
      <c r="C23" s="36" t="s">
        <v>132</v>
      </c>
      <c r="D23" s="45"/>
      <c r="E23" s="41"/>
      <c r="F23" s="59"/>
      <c r="G23" s="56" t="s">
        <v>133</v>
      </c>
      <c r="H23" s="36" t="s">
        <v>28</v>
      </c>
      <c r="I23" s="42">
        <v>22.72</v>
      </c>
      <c r="J23" s="70" t="str">
        <f>_xlfn.XLOOKUP(PurchaseList_Table[[#This Row],[BL No]],ResultTable[BL], ResultTable[Containers No.], "")</f>
        <v/>
      </c>
      <c r="K23" s="70" t="str">
        <f>_xlfn.XLOOKUP(PurchaseList_Table[[#This Row],[BL No]],ResultTable[BL], ResultTable[Container Type], "")</f>
        <v/>
      </c>
      <c r="L23" s="70" t="str">
        <f>_xlfn.XLOOKUP(PurchaseList_Table[[#This Row],[BL No]],ResultTable[BL], ResultTable[No. of Containers], "")</f>
        <v/>
      </c>
      <c r="M23" s="70">
        <f>IF(PurchaseList_Table[[#This Row],[ETA]]="", 2958465, VALUE(PurchaseList_Table[[#This Row],[ETA]]))</f>
        <v>2958465</v>
      </c>
      <c r="N23" s="71" t="str">
        <f>_xlfn.XLOOKUP(PurchaseList_Table[[#This Row],[BL No]],ResultTable[BL], ResultTable[ETD], "")</f>
        <v/>
      </c>
      <c r="O23" s="71" t="str">
        <f>_xlfn.XLOOKUP(
    PurchaseList_Table[[#This Row],[BL No]],
    ResultTable[BL],
    ResultTable[ETA],
    "",
    0
)</f>
        <v/>
      </c>
      <c r="P23" s="50"/>
      <c r="Q23" s="43">
        <v>7360</v>
      </c>
      <c r="R23" s="43">
        <v>15953.5</v>
      </c>
      <c r="S23" s="36">
        <v>0</v>
      </c>
      <c r="T23" s="43">
        <v>8593.5</v>
      </c>
      <c r="U23" s="72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3" s="71" t="str">
        <f>IFERROR(IF(PurchaseList_Table[[#This Row],[Outstanding Amount]]="","",
   PurchaseList_Table[[#This Row],[ETD]] + PurchaseList_Table[[#This Row],[Credit Period]]
),"")</f>
        <v/>
      </c>
      <c r="W23" s="70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Total Invoice Clear, Waiting for BL</v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>OFFCUT + 30</v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 t="s">
        <v>117</v>
      </c>
      <c r="B24" s="36" t="s">
        <v>121</v>
      </c>
      <c r="C24" s="36" t="s">
        <v>143</v>
      </c>
      <c r="D24" s="45"/>
      <c r="E24" s="41"/>
      <c r="F24" s="59"/>
      <c r="G24" s="56"/>
      <c r="H24" s="36"/>
      <c r="I24" s="42">
        <v>30</v>
      </c>
      <c r="J24" s="70" t="str">
        <f>_xlfn.XLOOKUP(PurchaseList_Table[[#This Row],[BL No]],ResultTable[BL], ResultTable[Containers No.], "")</f>
        <v/>
      </c>
      <c r="K24" s="70" t="str">
        <f>_xlfn.XLOOKUP(PurchaseList_Table[[#This Row],[BL No]],ResultTable[BL], ResultTable[Container Type], "")</f>
        <v/>
      </c>
      <c r="L24" s="70" t="str">
        <f>_xlfn.XLOOKUP(PurchaseList_Table[[#This Row],[BL No]],ResultTable[BL], ResultTable[No. of Containers], "")</f>
        <v/>
      </c>
      <c r="M24" s="70">
        <f>IF(PurchaseList_Table[[#This Row],[ETA]]="", 2958465, VALUE(PurchaseList_Table[[#This Row],[ETA]]))</f>
        <v>2958465</v>
      </c>
      <c r="N24" s="71" t="str">
        <f>_xlfn.XLOOKUP(PurchaseList_Table[[#This Row],[BL No]],ResultTable[BL], ResultTable[ETD], "")</f>
        <v/>
      </c>
      <c r="O24" s="71" t="str">
        <f>_xlfn.XLOOKUP(
    PurchaseList_Table[[#This Row],[BL No]],
    ResultTable[BL],
    ResultTable[ETA],
    "",
    0
)</f>
        <v/>
      </c>
      <c r="P24" s="50"/>
      <c r="Q24" s="43"/>
      <c r="R24" s="43"/>
      <c r="S24" s="36">
        <v>0</v>
      </c>
      <c r="T24" s="43"/>
      <c r="U24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71" t="str">
        <f>IFERROR(IF(PurchaseList_Table[[#This Row],[Outstanding Amount]]="","",
   PurchaseList_Table[[#This Row],[ETD]] + PurchaseList_Table[[#This Row],[Credit Period]]
),"")</f>
        <v/>
      </c>
      <c r="W24" s="70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Contract Signed</v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>JUMBO 23 + 27</v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 t="s">
        <v>117</v>
      </c>
      <c r="B25" s="36" t="s">
        <v>115</v>
      </c>
      <c r="C25" s="36" t="s">
        <v>147</v>
      </c>
      <c r="D25" s="45"/>
      <c r="E25" s="41"/>
      <c r="F25" s="59"/>
      <c r="G25" s="41"/>
      <c r="H25" s="36"/>
      <c r="I25" s="42">
        <v>160</v>
      </c>
      <c r="J25" s="70" t="str">
        <f>_xlfn.XLOOKUP(PurchaseList_Table[[#This Row],[BL No]],ResultTable[BL], ResultTable[Containers No.], "")</f>
        <v/>
      </c>
      <c r="K25" s="70" t="str">
        <f>_xlfn.XLOOKUP(PurchaseList_Table[[#This Row],[BL No]],ResultTable[BL], ResultTable[Container Type], "")</f>
        <v/>
      </c>
      <c r="L25" s="70" t="str">
        <f>_xlfn.XLOOKUP(PurchaseList_Table[[#This Row],[BL No]],ResultTable[BL], ResultTable[No. of Containers], "")</f>
        <v/>
      </c>
      <c r="M25" s="70">
        <f>IF(PurchaseList_Table[[#This Row],[ETA]]="", 2958465, VALUE(PurchaseList_Table[[#This Row],[ETA]]))</f>
        <v>2958465</v>
      </c>
      <c r="N25" s="71" t="str">
        <f>_xlfn.XLOOKUP(PurchaseList_Table[[#This Row],[BL No]],ResultTable[BL], ResultTable[ETD], "")</f>
        <v/>
      </c>
      <c r="O25" s="71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>
        <v>0</v>
      </c>
      <c r="T25" s="43"/>
      <c r="U25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71" t="str">
        <f>IFERROR(IF(PurchaseList_Table[[#This Row],[Outstanding Amount]]="","",
   PurchaseList_Table[[#This Row],[ETD]] + PurchaseList_Table[[#This Row],[Credit Period]]
),"")</f>
        <v/>
      </c>
      <c r="W25" s="70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Contract Signed</v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>30 Jumbo</v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160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 t="s">
        <v>117</v>
      </c>
      <c r="B26" s="36" t="s">
        <v>115</v>
      </c>
      <c r="C26" s="36" t="s">
        <v>148</v>
      </c>
      <c r="D26" s="45"/>
      <c r="E26" s="41"/>
      <c r="F26" s="59"/>
      <c r="G26" s="41"/>
      <c r="H26" s="36"/>
      <c r="I26" s="42">
        <v>50</v>
      </c>
      <c r="J26" s="70" t="str">
        <f>_xlfn.XLOOKUP(PurchaseList_Table[[#This Row],[BL No]],ResultTable[BL], ResultTable[Containers No.], "")</f>
        <v/>
      </c>
      <c r="K26" s="70" t="str">
        <f>_xlfn.XLOOKUP(PurchaseList_Table[[#This Row],[BL No]],ResultTable[BL], ResultTable[Container Type], "")</f>
        <v/>
      </c>
      <c r="L26" s="70" t="str">
        <f>_xlfn.XLOOKUP(PurchaseList_Table[[#This Row],[BL No]],ResultTable[BL], ResultTable[No. of Containers], "")</f>
        <v/>
      </c>
      <c r="M26" s="70">
        <f>IF(PurchaseList_Table[[#This Row],[ETA]]="", 2958465, VALUE(PurchaseList_Table[[#This Row],[ETA]]))</f>
        <v>2958465</v>
      </c>
      <c r="N26" s="71" t="str">
        <f>_xlfn.XLOOKUP(PurchaseList_Table[[#This Row],[BL No]],ResultTable[BL], ResultTable[ETD], "")</f>
        <v/>
      </c>
      <c r="O26" s="71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>
        <v>0</v>
      </c>
      <c r="T26" s="43"/>
      <c r="U26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71" t="str">
        <f>IFERROR(IF(PurchaseList_Table[[#This Row],[Outstanding Amount]]="","",
   PurchaseList_Table[[#This Row],[ETD]] + PurchaseList_Table[[#This Row],[Credit Period]]
),"")</f>
        <v/>
      </c>
      <c r="W26" s="70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Contract Signed</v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>30 jumbo gapping</v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 t="s">
        <v>117</v>
      </c>
      <c r="B27" s="36" t="s">
        <v>115</v>
      </c>
      <c r="C27" s="36" t="s">
        <v>149</v>
      </c>
      <c r="D27" s="45"/>
      <c r="E27" s="41"/>
      <c r="F27" s="59"/>
      <c r="G27" s="41"/>
      <c r="H27" s="36"/>
      <c r="I27" s="42">
        <v>34</v>
      </c>
      <c r="J27" s="70" t="str">
        <f>_xlfn.XLOOKUP(PurchaseList_Table[[#This Row],[BL No]],ResultTable[BL], ResultTable[Containers No.], "")</f>
        <v/>
      </c>
      <c r="K27" s="70" t="str">
        <f>_xlfn.XLOOKUP(PurchaseList_Table[[#This Row],[BL No]],ResultTable[BL], ResultTable[Container Type], "")</f>
        <v/>
      </c>
      <c r="L27" s="70" t="str">
        <f>_xlfn.XLOOKUP(PurchaseList_Table[[#This Row],[BL No]],ResultTable[BL], ResultTable[No. of Containers], "")</f>
        <v/>
      </c>
      <c r="M27" s="70">
        <f>IF(PurchaseList_Table[[#This Row],[ETA]]="", 2958465, VALUE(PurchaseList_Table[[#This Row],[ETA]]))</f>
        <v>2958465</v>
      </c>
      <c r="N27" s="71" t="str">
        <f>_xlfn.XLOOKUP(PurchaseList_Table[[#This Row],[BL No]],ResultTable[BL], ResultTable[ETD], "")</f>
        <v/>
      </c>
      <c r="O27" s="71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>
        <v>0</v>
      </c>
      <c r="T27" s="43"/>
      <c r="U27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71" t="str">
        <f>IFERROR(IF(PurchaseList_Table[[#This Row],[Outstanding Amount]]="","",
   PurchaseList_Table[[#This Row],[ETD]] + PurchaseList_Table[[#This Row],[Credit Period]]
),"")</f>
        <v/>
      </c>
      <c r="W27" s="70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>Contract Signed</v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>offcuts</v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34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70" t="str">
        <f>_xlfn.XLOOKUP(PurchaseList_Table[[#This Row],[BL No]],ResultTable[BL], ResultTable[Containers No.], "")</f>
        <v/>
      </c>
      <c r="K28" s="70" t="str">
        <f>_xlfn.XLOOKUP(PurchaseList_Table[[#This Row],[BL No]],ResultTable[BL], ResultTable[Container Type], "")</f>
        <v/>
      </c>
      <c r="L28" s="70" t="str">
        <f>_xlfn.XLOOKUP(PurchaseList_Table[[#This Row],[BL No]],ResultTable[BL], ResultTable[No. of Containers], "")</f>
        <v/>
      </c>
      <c r="M28" s="70">
        <f>IF(PurchaseList_Table[[#This Row],[ETA]]="", 2958465, VALUE(PurchaseList_Table[[#This Row],[ETA]]))</f>
        <v>2958465</v>
      </c>
      <c r="N28" s="71" t="str">
        <f>_xlfn.XLOOKUP(PurchaseList_Table[[#This Row],[BL No]],ResultTable[BL], ResultTable[ETD], "")</f>
        <v/>
      </c>
      <c r="O28" s="71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>
        <v>0</v>
      </c>
      <c r="T28" s="43"/>
      <c r="U28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71" t="str">
        <f>IFERROR(IF(PurchaseList_Table[[#This Row],[Outstanding Amount]]="","",
   PurchaseList_Table[[#This Row],[ETD]] + PurchaseList_Table[[#This Row],[Credit Period]]
),"")</f>
        <v/>
      </c>
      <c r="W28" s="70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70" t="str">
        <f>_xlfn.XLOOKUP(PurchaseList_Table[[#This Row],[BL No]],ResultTable[BL], ResultTable[Containers No.], "")</f>
        <v/>
      </c>
      <c r="K29" s="70" t="str">
        <f>_xlfn.XLOOKUP(PurchaseList_Table[[#This Row],[BL No]],ResultTable[BL], ResultTable[Container Type], "")</f>
        <v/>
      </c>
      <c r="L29" s="70" t="str">
        <f>_xlfn.XLOOKUP(PurchaseList_Table[[#This Row],[BL No]],ResultTable[BL], ResultTable[No. of Containers], "")</f>
        <v/>
      </c>
      <c r="M29" s="70">
        <f>IF(PurchaseList_Table[[#This Row],[ETA]]="", 2958465, VALUE(PurchaseList_Table[[#This Row],[ETA]]))</f>
        <v>2958465</v>
      </c>
      <c r="N29" s="71" t="str">
        <f>_xlfn.XLOOKUP(PurchaseList_Table[[#This Row],[BL No]],ResultTable[BL], ResultTable[ETD], "")</f>
        <v/>
      </c>
      <c r="O29" s="71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>
        <v>0</v>
      </c>
      <c r="T29" s="43"/>
      <c r="U29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71" t="str">
        <f>IFERROR(IF(PurchaseList_Table[[#This Row],[Outstanding Amount]]="","",
   PurchaseList_Table[[#This Row],[ETD]] + PurchaseList_Table[[#This Row],[Credit Period]]
),"")</f>
        <v/>
      </c>
      <c r="W29" s="70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70" t="str">
        <f>_xlfn.XLOOKUP(PurchaseList_Table[[#This Row],[BL No]],ResultTable[BL], ResultTable[Containers No.], "")</f>
        <v/>
      </c>
      <c r="K30" s="70" t="str">
        <f>_xlfn.XLOOKUP(PurchaseList_Table[[#This Row],[BL No]],ResultTable[BL], ResultTable[Container Type], "")</f>
        <v/>
      </c>
      <c r="L30" s="70" t="str">
        <f>_xlfn.XLOOKUP(PurchaseList_Table[[#This Row],[BL No]],ResultTable[BL], ResultTable[No. of Containers], "")</f>
        <v/>
      </c>
      <c r="M30" s="70">
        <f>IF(PurchaseList_Table[[#This Row],[ETA]]="", 2958465, VALUE(PurchaseList_Table[[#This Row],[ETA]]))</f>
        <v>2958465</v>
      </c>
      <c r="N30" s="71" t="str">
        <f>_xlfn.XLOOKUP(PurchaseList_Table[[#This Row],[BL No]],ResultTable[BL], ResultTable[ETD], "")</f>
        <v/>
      </c>
      <c r="O30" s="71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>
        <v>0</v>
      </c>
      <c r="T30" s="43"/>
      <c r="U30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71" t="str">
        <f>IFERROR(IF(PurchaseList_Table[[#This Row],[Outstanding Amount]]="","",
   PurchaseList_Table[[#This Row],[ETD]] + PurchaseList_Table[[#This Row],[Credit Period]]
),"")</f>
        <v/>
      </c>
      <c r="W30" s="70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70" t="str">
        <f>_xlfn.XLOOKUP(PurchaseList_Table[[#This Row],[BL No]],ResultTable[BL], ResultTable[Containers No.], "")</f>
        <v/>
      </c>
      <c r="K31" s="70" t="str">
        <f>_xlfn.XLOOKUP(PurchaseList_Table[[#This Row],[BL No]],ResultTable[BL], ResultTable[Container Type], "")</f>
        <v/>
      </c>
      <c r="L31" s="70" t="str">
        <f>_xlfn.XLOOKUP(PurchaseList_Table[[#This Row],[BL No]],ResultTable[BL], ResultTable[No. of Containers], "")</f>
        <v/>
      </c>
      <c r="M31" s="70">
        <f>IF(PurchaseList_Table[[#This Row],[ETA]]="", 2958465, VALUE(PurchaseList_Table[[#This Row],[ETA]]))</f>
        <v>2958465</v>
      </c>
      <c r="N31" s="71" t="str">
        <f>_xlfn.XLOOKUP(PurchaseList_Table[[#This Row],[BL No]],ResultTable[BL], ResultTable[ETD], "")</f>
        <v/>
      </c>
      <c r="O31" s="71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>
        <v>0</v>
      </c>
      <c r="T31" s="43"/>
      <c r="U31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71" t="str">
        <f>IFERROR(IF(PurchaseList_Table[[#This Row],[Outstanding Amount]]="","",
   PurchaseList_Table[[#This Row],[ETD]] + PurchaseList_Table[[#This Row],[Credit Period]]
),"")</f>
        <v/>
      </c>
      <c r="W31" s="70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70" t="str">
        <f>_xlfn.XLOOKUP(PurchaseList_Table[[#This Row],[BL No]],ResultTable[BL], ResultTable[Containers No.], "")</f>
        <v/>
      </c>
      <c r="K32" s="70" t="str">
        <f>_xlfn.XLOOKUP(PurchaseList_Table[[#This Row],[BL No]],ResultTable[BL], ResultTable[Container Type], "")</f>
        <v/>
      </c>
      <c r="L32" s="70" t="str">
        <f>_xlfn.XLOOKUP(PurchaseList_Table[[#This Row],[BL No]],ResultTable[BL], ResultTable[No. of Containers], "")</f>
        <v/>
      </c>
      <c r="M32" s="70">
        <f>IF(PurchaseList_Table[[#This Row],[ETA]]="", 2958465, VALUE(PurchaseList_Table[[#This Row],[ETA]]))</f>
        <v>2958465</v>
      </c>
      <c r="N32" s="71" t="str">
        <f>_xlfn.XLOOKUP(PurchaseList_Table[[#This Row],[BL No]],ResultTable[BL], ResultTable[ETD], "")</f>
        <v/>
      </c>
      <c r="O32" s="71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>
        <v>0</v>
      </c>
      <c r="T32" s="43"/>
      <c r="U32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71" t="str">
        <f>IFERROR(IF(PurchaseList_Table[[#This Row],[Outstanding Amount]]="","",
   PurchaseList_Table[[#This Row],[ETD]] + PurchaseList_Table[[#This Row],[Credit Period]]
),"")</f>
        <v/>
      </c>
      <c r="W32" s="70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70" t="str">
        <f>_xlfn.XLOOKUP(PurchaseList_Table[[#This Row],[BL No]],ResultTable[BL], ResultTable[Containers No.], "")</f>
        <v/>
      </c>
      <c r="K33" s="70" t="str">
        <f>_xlfn.XLOOKUP(PurchaseList_Table[[#This Row],[BL No]],ResultTable[BL], ResultTable[Container Type], "")</f>
        <v/>
      </c>
      <c r="L33" s="70" t="str">
        <f>_xlfn.XLOOKUP(PurchaseList_Table[[#This Row],[BL No]],ResultTable[BL], ResultTable[No. of Containers], "")</f>
        <v/>
      </c>
      <c r="M33" s="70">
        <f>IF(PurchaseList_Table[[#This Row],[ETA]]="", 2958465, VALUE(PurchaseList_Table[[#This Row],[ETA]]))</f>
        <v>2958465</v>
      </c>
      <c r="N33" s="71" t="str">
        <f>_xlfn.XLOOKUP(PurchaseList_Table[[#This Row],[BL No]],ResultTable[BL], ResultTable[ETD], "")</f>
        <v/>
      </c>
      <c r="O33" s="71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>
        <v>0</v>
      </c>
      <c r="T33" s="43"/>
      <c r="U33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71" t="str">
        <f>IFERROR(IF(PurchaseList_Table[[#This Row],[Outstanding Amount]]="","",
   PurchaseList_Table[[#This Row],[ETD]] + PurchaseList_Table[[#This Row],[Credit Period]]
),"")</f>
        <v/>
      </c>
      <c r="W33" s="70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70" t="str">
        <f>_xlfn.XLOOKUP(PurchaseList_Table[[#This Row],[BL No]],ResultTable[BL], ResultTable[Containers No.], "")</f>
        <v/>
      </c>
      <c r="K34" s="70" t="str">
        <f>_xlfn.XLOOKUP(PurchaseList_Table[[#This Row],[BL No]],ResultTable[BL], ResultTable[Container Type], "")</f>
        <v/>
      </c>
      <c r="L34" s="70" t="str">
        <f>_xlfn.XLOOKUP(PurchaseList_Table[[#This Row],[BL No]],ResultTable[BL], ResultTable[No. of Containers], "")</f>
        <v/>
      </c>
      <c r="M34" s="70">
        <f>IF(PurchaseList_Table[[#This Row],[ETA]]="", 2958465, VALUE(PurchaseList_Table[[#This Row],[ETA]]))</f>
        <v>2958465</v>
      </c>
      <c r="N34" s="71" t="str">
        <f>_xlfn.XLOOKUP(PurchaseList_Table[[#This Row],[BL No]],ResultTable[BL], ResultTable[ETD], "")</f>
        <v/>
      </c>
      <c r="O34" s="71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>
        <v>0</v>
      </c>
      <c r="T34" s="43"/>
      <c r="U34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71" t="str">
        <f>IFERROR(IF(PurchaseList_Table[[#This Row],[Outstanding Amount]]="","",
   PurchaseList_Table[[#This Row],[ETD]] + PurchaseList_Table[[#This Row],[Credit Period]]
),"")</f>
        <v/>
      </c>
      <c r="W34" s="70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70" t="str">
        <f>_xlfn.XLOOKUP(PurchaseList_Table[[#This Row],[BL No]],ResultTable[BL], ResultTable[Containers No.], "")</f>
        <v/>
      </c>
      <c r="K35" s="70" t="str">
        <f>_xlfn.XLOOKUP(PurchaseList_Table[[#This Row],[BL No]],ResultTable[BL], ResultTable[Container Type], "")</f>
        <v/>
      </c>
      <c r="L35" s="70" t="str">
        <f>_xlfn.XLOOKUP(PurchaseList_Table[[#This Row],[BL No]],ResultTable[BL], ResultTable[No. of Containers], "")</f>
        <v/>
      </c>
      <c r="M35" s="70">
        <f>IF(PurchaseList_Table[[#This Row],[ETA]]="", 2958465, VALUE(PurchaseList_Table[[#This Row],[ETA]]))</f>
        <v>2958465</v>
      </c>
      <c r="N35" s="71" t="str">
        <f>_xlfn.XLOOKUP(PurchaseList_Table[[#This Row],[BL No]],ResultTable[BL], ResultTable[ETD], "")</f>
        <v/>
      </c>
      <c r="O35" s="71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>
        <v>0</v>
      </c>
      <c r="T35" s="43"/>
      <c r="U35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71" t="str">
        <f>IFERROR(IF(PurchaseList_Table[[#This Row],[Outstanding Amount]]="","",
   PurchaseList_Table[[#This Row],[ETD]] + PurchaseList_Table[[#This Row],[Credit Period]]
),"")</f>
        <v/>
      </c>
      <c r="W35" s="70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70" t="str">
        <f>_xlfn.XLOOKUP(PurchaseList_Table[[#This Row],[BL No]],ResultTable[BL], ResultTable[Containers No.], "")</f>
        <v/>
      </c>
      <c r="K36" s="70" t="str">
        <f>_xlfn.XLOOKUP(PurchaseList_Table[[#This Row],[BL No]],ResultTable[BL], ResultTable[Container Type], "")</f>
        <v/>
      </c>
      <c r="L36" s="70" t="str">
        <f>_xlfn.XLOOKUP(PurchaseList_Table[[#This Row],[BL No]],ResultTable[BL], ResultTable[No. of Containers], "")</f>
        <v/>
      </c>
      <c r="M36" s="70">
        <f>IF(PurchaseList_Table[[#This Row],[ETA]]="", 2958465, VALUE(PurchaseList_Table[[#This Row],[ETA]]))</f>
        <v>2958465</v>
      </c>
      <c r="N36" s="71" t="str">
        <f>_xlfn.XLOOKUP(PurchaseList_Table[[#This Row],[BL No]],ResultTable[BL], ResultTable[ETD], "")</f>
        <v/>
      </c>
      <c r="O36" s="71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>
        <v>0</v>
      </c>
      <c r="T36" s="43"/>
      <c r="U36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71" t="str">
        <f>IFERROR(IF(PurchaseList_Table[[#This Row],[Outstanding Amount]]="","",
   PurchaseList_Table[[#This Row],[ETD]] + PurchaseList_Table[[#This Row],[Credit Period]]
),"")</f>
        <v/>
      </c>
      <c r="W36" s="70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70" t="str">
        <f>_xlfn.XLOOKUP(PurchaseList_Table[[#This Row],[BL No]],ResultTable[BL], ResultTable[Containers No.], "")</f>
        <v/>
      </c>
      <c r="K37" s="70" t="str">
        <f>_xlfn.XLOOKUP(PurchaseList_Table[[#This Row],[BL No]],ResultTable[BL], ResultTable[Container Type], "")</f>
        <v/>
      </c>
      <c r="L37" s="70" t="str">
        <f>_xlfn.XLOOKUP(PurchaseList_Table[[#This Row],[BL No]],ResultTable[BL], ResultTable[No. of Containers], "")</f>
        <v/>
      </c>
      <c r="M37" s="70">
        <f>IF(PurchaseList_Table[[#This Row],[ETA]]="", 2958465, VALUE(PurchaseList_Table[[#This Row],[ETA]]))</f>
        <v>2958465</v>
      </c>
      <c r="N37" s="71" t="str">
        <f>_xlfn.XLOOKUP(PurchaseList_Table[[#This Row],[BL No]],ResultTable[BL], ResultTable[ETD], "")</f>
        <v/>
      </c>
      <c r="O37" s="71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>
        <v>0</v>
      </c>
      <c r="T37" s="43"/>
      <c r="U37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71" t="str">
        <f>IFERROR(IF(PurchaseList_Table[[#This Row],[Outstanding Amount]]="","",
   PurchaseList_Table[[#This Row],[ETD]] + PurchaseList_Table[[#This Row],[Credit Period]]
),"")</f>
        <v/>
      </c>
      <c r="W37" s="70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70" t="str">
        <f>_xlfn.XLOOKUP(PurchaseList_Table[[#This Row],[BL No]],ResultTable[BL], ResultTable[Containers No.], "")</f>
        <v/>
      </c>
      <c r="K38" s="70" t="str">
        <f>_xlfn.XLOOKUP(PurchaseList_Table[[#This Row],[BL No]],ResultTable[BL], ResultTable[Container Type], "")</f>
        <v/>
      </c>
      <c r="L38" s="70" t="str">
        <f>_xlfn.XLOOKUP(PurchaseList_Table[[#This Row],[BL No]],ResultTable[BL], ResultTable[No. of Containers], "")</f>
        <v/>
      </c>
      <c r="M38" s="70">
        <f>IF(PurchaseList_Table[[#This Row],[ETA]]="", 2958465, VALUE(PurchaseList_Table[[#This Row],[ETA]]))</f>
        <v>2958465</v>
      </c>
      <c r="N38" s="71" t="str">
        <f>_xlfn.XLOOKUP(PurchaseList_Table[[#This Row],[BL No]],ResultTable[BL], ResultTable[ETD], "")</f>
        <v/>
      </c>
      <c r="O38" s="71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>
        <v>0</v>
      </c>
      <c r="T38" s="43"/>
      <c r="U38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71" t="str">
        <f>IFERROR(IF(PurchaseList_Table[[#This Row],[Outstanding Amount]]="","",
   PurchaseList_Table[[#This Row],[ETD]] + PurchaseList_Table[[#This Row],[Credit Period]]
),"")</f>
        <v/>
      </c>
      <c r="W38" s="70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70" t="str">
        <f>_xlfn.XLOOKUP(PurchaseList_Table[[#This Row],[BL No]],ResultTable[BL], ResultTable[Containers No.], "")</f>
        <v/>
      </c>
      <c r="K39" s="70" t="str">
        <f>_xlfn.XLOOKUP(PurchaseList_Table[[#This Row],[BL No]],ResultTable[BL], ResultTable[Container Type], "")</f>
        <v/>
      </c>
      <c r="L39" s="70" t="str">
        <f>_xlfn.XLOOKUP(PurchaseList_Table[[#This Row],[BL No]],ResultTable[BL], ResultTable[No. of Containers], "")</f>
        <v/>
      </c>
      <c r="M39" s="70">
        <f>IF(PurchaseList_Table[[#This Row],[ETA]]="", 2958465, VALUE(PurchaseList_Table[[#This Row],[ETA]]))</f>
        <v>2958465</v>
      </c>
      <c r="N39" s="71" t="str">
        <f>_xlfn.XLOOKUP(PurchaseList_Table[[#This Row],[BL No]],ResultTable[BL], ResultTable[ETD], "")</f>
        <v/>
      </c>
      <c r="O39" s="71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>
        <v>0</v>
      </c>
      <c r="T39" s="43"/>
      <c r="U39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71" t="str">
        <f>IFERROR(IF(PurchaseList_Table[[#This Row],[Outstanding Amount]]="","",
   PurchaseList_Table[[#This Row],[ETD]] + PurchaseList_Table[[#This Row],[Credit Period]]
),"")</f>
        <v/>
      </c>
      <c r="W39" s="70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ht="31.5" customHeight="1" x14ac:dyDescent="0.25">
      <c r="A40" s="36"/>
      <c r="B40" s="36"/>
      <c r="C40" s="36"/>
      <c r="D40" s="45"/>
      <c r="E40" s="41"/>
      <c r="F40" s="59"/>
      <c r="G40" s="41"/>
      <c r="H40" s="36"/>
      <c r="I40" s="42"/>
      <c r="J40" s="70" t="str">
        <f>_xlfn.XLOOKUP(PurchaseList_Table[[#This Row],[BL No]],ResultTable[BL], ResultTable[Containers No.], "")</f>
        <v/>
      </c>
      <c r="K40" s="70" t="str">
        <f>_xlfn.XLOOKUP(PurchaseList_Table[[#This Row],[BL No]],ResultTable[BL], ResultTable[Container Type], "")</f>
        <v/>
      </c>
      <c r="L40" s="70" t="str">
        <f>_xlfn.XLOOKUP(PurchaseList_Table[[#This Row],[BL No]],ResultTable[BL], ResultTable[No. of Containers], "")</f>
        <v/>
      </c>
      <c r="M40" s="70">
        <f>IF(PurchaseList_Table[[#This Row],[ETA]]="", 2958465, VALUE(PurchaseList_Table[[#This Row],[ETA]]))</f>
        <v>2958465</v>
      </c>
      <c r="N40" s="71" t="str">
        <f>_xlfn.XLOOKUP(PurchaseList_Table[[#This Row],[BL No]],ResultTable[BL], ResultTable[ETD], "")</f>
        <v/>
      </c>
      <c r="O40" s="71" t="str">
        <f>_xlfn.XLOOKUP(
    PurchaseList_Table[[#This Row],[BL No]],
    ResultTable[BL],
    ResultTable[ETA],
    "",
    0
)</f>
        <v/>
      </c>
      <c r="P40" s="50" t="str">
        <f>IF(AND(PurchaseList_Table[[#This Row],[ETA]]&lt;&gt;"",PurchaseList_Table[[#This Row],[ETD]]&lt;&gt;""),PurchaseList_Table[[#This Row],[ETA]]-PurchaseList_Table[[#This Row],[ETD]],"")</f>
        <v/>
      </c>
      <c r="Q40" s="43"/>
      <c r="R40" s="43"/>
      <c r="S40" s="36">
        <v>0</v>
      </c>
      <c r="T40" s="43"/>
      <c r="U40" s="72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40" s="71" t="str">
        <f>IFERROR(IF(PurchaseList_Table[[#This Row],[Outstanding Amount]]="","",
   PurchaseList_Table[[#This Row],[ETD]] + PurchaseList_Table[[#This Row],[Credit Period]]
),"")</f>
        <v/>
      </c>
      <c r="W40" s="70" t="str" cm="1">
        <f t="array" aca="1" ref="W4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NOT(ISNUMBER(_xlpm.etdN)), _xlpm.tv &lt;= _xlpm.scexp),
            "Waiting Loading",
        _xlpm.podArrived,
            "Arrived at POD",
        AND(ISNUMBER(_xlpm.etdN), ISNUMBER(_xlpm.etaN), _xlpm.inv=""),
            "Loaded, Waiting for Invoice",
        AND(_xlpm.adv="", _xlpm.inv="", _xlpm.wght&lt;&gt;"", NOT(ISNUMBER(_xlpm.etdN)), NOT(ISNUMBER(_xlpm.etaN))),
            "Contract Signed",
        AND(_xlpm.amt=0, _xlpm.inv&lt;&gt;"", NOT(ISNUMBER(_xlpm.etdN)), NOT(ISNUMBER(_xlpm.etaN))),
            "Total Invoice Clear, Waiting for BL",
        AND(_xlpm.amt&gt;0, _xlpm.inv&lt;&gt;"", NOT(ISNUMBER(_xlpm.etdN)), NOT(ISNUMBER(_xlpm.etaN))),
            "Invoice Received, Waiting for BL",
        AND(_xlpm.amt&lt;0, _xlpm.inv&lt;&gt;"", NOT(ISNUMBER(_xlpm.etdN)), NOT(ISNUMBER(_xlpm.etaN))),
            "OverPaid, Waiting for BL",
        AND(NOT(ISNUMBER(_xlpm.etdN)), NOT(ISNUMBER(_xlpm.etaN)), _xlpm.inv="", _xlpm.adv&lt;&gt;""),
            "Advance Paid, Expecting Loading.",
        _xlpm.amt=0,
            "Done",
        _xlpm.amt&lt;0,
            "OverPaid",
        ISNUMBER(_xlpm.dueN) * (_xlpm.dueN = _xlpm.tv),
            "Due Today",
        ISNUMBER(_xlpm.dueN) * (_xlpm.dueN &lt; _xlpm.tv),
            "OverDue",
        TRUE,
            "Yet to Pay"
    )
)</f>
        <v/>
      </c>
      <c r="X40" s="36"/>
      <c r="Y40" s="36"/>
      <c r="Z40" s="36"/>
      <c r="AA40" s="36"/>
      <c r="AB40" s="36"/>
      <c r="AC40" s="36"/>
      <c r="AD40" s="1" t="str">
        <f>IF(PurchaseList_Table[[#This Row],[ETA]]="","",TEXT(PurchaseList_Table[[#This Row],[ETA]],"MMM-YYYY"))</f>
        <v/>
      </c>
      <c r="AE40" s="1" t="str">
        <f>_xlfn.LET(_xlpm.x, TRIM(CLEAN(PurchaseList_Table[[#This Row],[Material]])), IF(_xlpm.x="", "", _xlpm.x))</f>
        <v/>
      </c>
      <c r="AF40" s="1" t="str">
        <f>IF(PurchaseList_Table[[#This Row],[ETA MONTH]]="", "Waiting for loading", PurchaseList_Table[[#This Row],[ETA MONTH]])</f>
        <v>Waiting for loading</v>
      </c>
      <c r="AG40" s="1" cm="1">
        <f t="array" ref="AG4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4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1" spans="1:34" s="55" customFormat="1" ht="25.5" customHeight="1" x14ac:dyDescent="0.3">
      <c r="A41" s="52"/>
      <c r="B41" s="52"/>
      <c r="C41" s="52"/>
      <c r="D41" s="52"/>
      <c r="E41" s="52"/>
      <c r="F41" s="52"/>
      <c r="G41" s="52"/>
      <c r="H41" s="52"/>
      <c r="I41" s="57">
        <f>SUBTOTAL(109,PurchaseList_Table[Weight])</f>
        <v>758.04700000000003</v>
      </c>
      <c r="J41" s="74"/>
      <c r="K41" s="52"/>
      <c r="L41" s="52">
        <f>SUBTOTAL(109,PurchaseList_Table[No. of Containers])</f>
        <v>0</v>
      </c>
      <c r="M41" s="52"/>
      <c r="N41" s="52"/>
      <c r="O41" s="52"/>
      <c r="P41" s="53"/>
      <c r="Q41" s="54">
        <f>SUBTOTAL(109,PurchaseList_Table[Advance Paid])</f>
        <v>121324</v>
      </c>
      <c r="R41" s="54">
        <f>SUBTOTAL(109,PurchaseList_Table[Total invoice Amount])</f>
        <v>315974.48</v>
      </c>
      <c r="S41" s="52"/>
      <c r="T41" s="54">
        <f>SUBTOTAL(109,PurchaseList_Table[Paid Balance amount])</f>
        <v>194650.48</v>
      </c>
      <c r="U41" s="54">
        <f>SUBTOTAL(109,PurchaseList_Table[Outstanding Amount])</f>
        <v>0</v>
      </c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>
        <f>SUBTOTAL(109,PurchaseList_Table[CLN No. of cnt])</f>
        <v>0</v>
      </c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  <row r="58" spans="11:11" x14ac:dyDescent="0.25">
      <c r="K58" s="42"/>
    </row>
  </sheetData>
  <mergeCells count="8">
    <mergeCell ref="S1:S3"/>
    <mergeCell ref="T1:T3"/>
    <mergeCell ref="K1:K3"/>
    <mergeCell ref="G1:G3"/>
    <mergeCell ref="P1:P3"/>
    <mergeCell ref="Q1:Q3"/>
    <mergeCell ref="I1:I3"/>
    <mergeCell ref="H1:H3"/>
  </mergeCells>
  <phoneticPr fontId="3" type="noConversion"/>
  <conditionalFormatting sqref="K43:K58">
    <cfRule type="expression" dxfId="31" priority="16">
      <formula>OR($V43="Overpaid",$V43="OverPaid, Waiting for BL")</formula>
    </cfRule>
    <cfRule type="expression" dxfId="30" priority="17">
      <formula>OR($V43="OverDue",$V43="Total Invoice Clear, Waiting for BL",$V43="Invoice Received, Waiting for BL")</formula>
    </cfRule>
    <cfRule type="expression" dxfId="29" priority="18">
      <formula>$V43="Done"</formula>
    </cfRule>
    <cfRule type="expression" dxfId="28" priority="19">
      <formula>LEN($B43)&gt;0</formula>
    </cfRule>
    <cfRule type="expression" dxfId="27" priority="20">
      <formula>$N42="2958465"</formula>
    </cfRule>
  </conditionalFormatting>
  <conditionalFormatting sqref="O4:O40">
    <cfRule type="expression" dxfId="26" priority="199">
      <formula>$O4=DATE(9999,12,31)</formula>
    </cfRule>
  </conditionalFormatting>
  <conditionalFormatting sqref="A2:D2 F2:G2 A3:G3 H2:I3 K2:K3 M2:AB3">
    <cfRule type="expression" dxfId="25" priority="205">
      <formula>OR($V2="Overpaid",$V2="OverPaid, Waiting for BL")</formula>
    </cfRule>
    <cfRule type="expression" dxfId="24" priority="206">
      <formula>OR($V2="OverDue",$V2="Total Invoice Clear, Waiting for BL",$V2="Invoice Received, Waiting for BL")</formula>
    </cfRule>
    <cfRule type="expression" dxfId="23" priority="207">
      <formula>$V2="Done"</formula>
    </cfRule>
    <cfRule type="expression" dxfId="22" priority="208">
      <formula>LEN($A2)&gt;0</formula>
    </cfRule>
    <cfRule type="expression" dxfId="21" priority="209">
      <formula>$N1="2958465"</formula>
    </cfRule>
  </conditionalFormatting>
  <conditionalFormatting sqref="Y5:Y40">
    <cfRule type="expression" dxfId="20" priority="11">
      <formula>$Y5="Done"</formula>
    </cfRule>
    <cfRule type="expression" dxfId="19" priority="36">
      <formula>AND($Y5&lt;&gt;"Done",$O5&lt;&gt;0,TodayValue&gt;=($O5-9))</formula>
    </cfRule>
  </conditionalFormatting>
  <conditionalFormatting sqref="AA5:AA40">
    <cfRule type="expression" dxfId="18" priority="7">
      <formula>$AA5="Done"</formula>
    </cfRule>
    <cfRule type="expression" dxfId="17" priority="10">
      <formula>AND($AA5&lt;&gt;"Done",$O5&lt;&gt;0,TodayValue&gt;=($O5-9))</formula>
    </cfRule>
  </conditionalFormatting>
  <conditionalFormatting sqref="AB5:AB40">
    <cfRule type="expression" dxfId="16" priority="5">
      <formula>$AB5="Done"</formula>
    </cfRule>
    <cfRule type="expression" dxfId="15" priority="6">
      <formula>AND($AB5&lt;&gt;"Done",$O5&lt;&gt;0,TodayValue&gt;=($O5-9))</formula>
    </cfRule>
  </conditionalFormatting>
  <conditionalFormatting sqref="Z5:Z40">
    <cfRule type="expression" dxfId="14" priority="2">
      <formula>$Z5="DRAFT"</formula>
    </cfRule>
    <cfRule type="expression" dxfId="13" priority="3">
      <formula>$Z5="UPLOADED"</formula>
    </cfRule>
    <cfRule type="expression" dxfId="12" priority="4">
      <formula>AND($Z5&lt;&gt;"UPLOADED",$O5&lt;&gt;0,TodayValue&gt;=($O5-9))</formula>
    </cfRule>
  </conditionalFormatting>
  <conditionalFormatting sqref="A5:AB40">
    <cfRule type="expression" dxfId="11" priority="220">
      <formula>LEN($B5)&gt;0</formula>
    </cfRule>
  </conditionalFormatting>
  <conditionalFormatting sqref="K42">
    <cfRule type="expression" dxfId="10" priority="215">
      <formula>OR($V42="Overpaid",$V42="OverPaid, Waiting for BL")</formula>
    </cfRule>
    <cfRule type="expression" dxfId="9" priority="216">
      <formula>OR($V42="OverDue",$V42="Total Invoice Clear, Waiting for BL",$V42="Invoice Received, Waiting for BL")</formula>
    </cfRule>
    <cfRule type="expression" dxfId="8" priority="217">
      <formula>$V42="Done"</formula>
    </cfRule>
    <cfRule type="expression" dxfId="7" priority="218">
      <formula>LEN($B42)&gt;0</formula>
    </cfRule>
    <cfRule type="expression" dxfId="6" priority="219">
      <formula>$O41="2958465"</formula>
    </cfRule>
  </conditionalFormatting>
  <conditionalFormatting sqref="A5:W40">
    <cfRule type="expression" dxfId="5" priority="221">
      <formula>$W5="SC Expired"</formula>
    </cfRule>
  </conditionalFormatting>
  <conditionalFormatting sqref="A5:I40 Q5:T40">
    <cfRule type="expression" dxfId="4" priority="222">
      <formula>$W5="Arrived at POD"</formula>
    </cfRule>
    <cfRule type="expression" dxfId="3" priority="223">
      <formula>OR($W5="Overpaid",$W5="OverPaid, Waiting for BL")</formula>
    </cfRule>
    <cfRule type="expression" dxfId="2" priority="224">
      <formula>OR($W5="OverDue",$W5="Total Invoice Clear, Waiting for BL",$W5="Invoice Received, Waiting for BL")</formula>
    </cfRule>
    <cfRule type="expression" dxfId="1" priority="241">
      <formula>$W5="Done"</formula>
    </cfRule>
  </conditionalFormatting>
  <conditionalFormatting sqref="G5:G40">
    <cfRule type="duplicateValues" dxfId="0" priority="1"/>
  </conditionalFormatting>
  <dataValidations count="1">
    <dataValidation type="list" allowBlank="1" showInputMessage="1" showErrorMessage="1" sqref="H5:H40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Settings!$B$8:$B$9</xm:f>
          </x14:formula1>
          <xm:sqref>Y5:Y40 AA5:AB40</xm:sqref>
        </x14:dataValidation>
        <x14:dataValidation type="list" allowBlank="1" showInputMessage="1" showErrorMessage="1" xr:uid="{E1679AD8-DCC1-4083-9766-C5587B82777C}">
          <x14:formula1>
            <xm:f>Settings!$B$9:$B$11</xm:f>
          </x14:formula1>
          <xm:sqref>Z5:Z40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"/>
  <sheetViews>
    <sheetView workbookViewId="0">
      <selection activeCell="C15" sqref="C15"/>
    </sheetView>
  </sheetViews>
  <sheetFormatPr defaultRowHeight="15" x14ac:dyDescent="0.25"/>
  <cols>
    <col min="1" max="1" width="8.7109375" bestFit="1" customWidth="1"/>
    <col min="2" max="2" width="9" bestFit="1" customWidth="1"/>
    <col min="3" max="3" width="6.85546875" bestFit="1" customWidth="1"/>
    <col min="4" max="4" width="7.28515625" bestFit="1" customWidth="1"/>
    <col min="5" max="5" width="16.85546875" bestFit="1" customWidth="1"/>
    <col min="6" max="6" width="6.85546875" bestFit="1" customWidth="1"/>
    <col min="7" max="7" width="6.5703125" bestFit="1" customWidth="1"/>
    <col min="8" max="8" width="13.5703125" bestFit="1" customWidth="1"/>
    <col min="9" max="9" width="9.28515625" bestFit="1" customWidth="1"/>
    <col min="10" max="10" width="17.140625" bestFit="1" customWidth="1"/>
    <col min="11" max="11" width="19.28515625" bestFit="1" customWidth="1"/>
    <col min="12" max="12" width="17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152</v>
      </c>
      <c r="B2" t="s">
        <v>151</v>
      </c>
      <c r="C2" t="s">
        <v>151</v>
      </c>
      <c r="D2" t="s">
        <v>151</v>
      </c>
      <c r="E2" t="s">
        <v>151</v>
      </c>
      <c r="F2" t="s">
        <v>151</v>
      </c>
      <c r="G2" t="s">
        <v>151</v>
      </c>
      <c r="H2" t="s">
        <v>151</v>
      </c>
      <c r="I2" t="s">
        <v>151</v>
      </c>
      <c r="J2" t="s">
        <v>151</v>
      </c>
      <c r="K2" t="s">
        <v>151</v>
      </c>
      <c r="L2" t="s">
        <v>151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7"/>
  <sheetViews>
    <sheetView workbookViewId="0">
      <selection activeCell="E4" sqref="E4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153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153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150</v>
      </c>
      <c r="F4" t="s">
        <v>107</v>
      </c>
      <c r="G4" t="s">
        <v>153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153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153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153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A1:K11"/>
  <sheetViews>
    <sheetView workbookViewId="0">
      <selection activeCell="J9" sqref="J9"/>
    </sheetView>
  </sheetViews>
  <sheetFormatPr defaultRowHeight="15" x14ac:dyDescent="0.25"/>
  <cols>
    <col min="1" max="1" width="19" bestFit="1" customWidth="1"/>
    <col min="2" max="2" width="10.42578125" bestFit="1" customWidth="1"/>
    <col min="3" max="3" width="9.7109375" customWidth="1"/>
  </cols>
  <sheetData>
    <row r="1" spans="1:11" x14ac:dyDescent="0.25">
      <c r="A1" s="100" t="s">
        <v>94</v>
      </c>
      <c r="B1" s="101"/>
      <c r="C1" s="101"/>
      <c r="D1" s="101"/>
      <c r="E1" s="101"/>
      <c r="F1" s="101"/>
      <c r="G1" s="101"/>
      <c r="H1" s="101"/>
      <c r="I1" s="101"/>
      <c r="J1" s="101"/>
      <c r="K1" s="102"/>
    </row>
    <row r="2" spans="1:11" x14ac:dyDescent="0.25">
      <c r="A2" s="62" t="s">
        <v>95</v>
      </c>
      <c r="B2" s="96" t="s">
        <v>97</v>
      </c>
      <c r="C2" s="96"/>
      <c r="D2" s="96"/>
      <c r="E2" s="96"/>
      <c r="F2" s="96"/>
      <c r="G2" s="96"/>
      <c r="H2" s="96"/>
      <c r="I2" s="96"/>
      <c r="J2" s="96"/>
      <c r="K2" s="97"/>
    </row>
    <row r="3" spans="1:11" ht="15.75" thickBot="1" x14ac:dyDescent="0.3">
      <c r="A3" s="64" t="s">
        <v>96</v>
      </c>
      <c r="B3" s="98" t="s">
        <v>98</v>
      </c>
      <c r="C3" s="98"/>
      <c r="D3" s="98"/>
      <c r="E3" s="98"/>
      <c r="F3" s="98"/>
      <c r="G3" s="98"/>
      <c r="H3" s="98"/>
      <c r="I3" s="98"/>
      <c r="J3" s="98"/>
      <c r="K3" s="99"/>
    </row>
    <row r="6" spans="1:11" ht="15.75" thickBot="1" x14ac:dyDescent="0.3"/>
    <row r="7" spans="1:11" ht="15.75" thickBot="1" x14ac:dyDescent="0.3">
      <c r="A7" s="93" t="s">
        <v>79</v>
      </c>
      <c r="B7" s="94"/>
      <c r="C7" s="94"/>
      <c r="D7" s="94"/>
      <c r="E7" s="94"/>
      <c r="F7" s="95"/>
    </row>
    <row r="8" spans="1:11" x14ac:dyDescent="0.25">
      <c r="A8" s="67" t="s">
        <v>16</v>
      </c>
      <c r="B8" s="68" t="s">
        <v>73</v>
      </c>
      <c r="C8" s="68" t="s">
        <v>74</v>
      </c>
      <c r="D8" s="68"/>
      <c r="E8" s="68"/>
      <c r="F8" s="69"/>
    </row>
    <row r="9" spans="1:11" x14ac:dyDescent="0.25">
      <c r="A9" s="62" t="s">
        <v>15</v>
      </c>
      <c r="B9" s="61" t="s">
        <v>75</v>
      </c>
      <c r="C9" s="61" t="s">
        <v>76</v>
      </c>
      <c r="D9" s="61" t="s">
        <v>74</v>
      </c>
      <c r="E9" s="61"/>
      <c r="F9" s="63"/>
    </row>
    <row r="10" spans="1:11" x14ac:dyDescent="0.25">
      <c r="A10" s="62" t="s">
        <v>70</v>
      </c>
      <c r="B10" s="61" t="s">
        <v>73</v>
      </c>
      <c r="C10" s="61" t="s">
        <v>74</v>
      </c>
      <c r="D10" s="61"/>
      <c r="E10" s="61"/>
      <c r="F10" s="63"/>
    </row>
    <row r="11" spans="1:11" ht="15.75" thickBot="1" x14ac:dyDescent="0.3">
      <c r="A11" s="64" t="s">
        <v>72</v>
      </c>
      <c r="B11" s="65" t="s">
        <v>73</v>
      </c>
      <c r="C11" s="65" t="s">
        <v>74</v>
      </c>
      <c r="D11" s="65"/>
      <c r="E11" s="65"/>
      <c r="F11" s="66"/>
    </row>
  </sheetData>
  <mergeCells count="4">
    <mergeCell ref="A7:F7"/>
    <mergeCell ref="B2:K2"/>
    <mergeCell ref="B3:K3"/>
    <mergeCell ref="A1:K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Extra</vt:lpstr>
      <vt:lpstr>Main Purchase List</vt:lpstr>
      <vt:lpstr>BL Tracking List</vt:lpstr>
      <vt:lpstr>Shipping Line List</vt:lpstr>
      <vt:lpstr>Settings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2025-12-31T14:37:38Z</dcterms:modified>
</cp:coreProperties>
</file>