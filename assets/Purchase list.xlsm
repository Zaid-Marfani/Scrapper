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Scrapper\assets\"/>
    </mc:Choice>
  </mc:AlternateContent>
  <xr:revisionPtr revIDLastSave="0" documentId="13_ncr:1_{DE2A18BE-675A-4AA3-AFBA-7239F2BE2775}" xr6:coauthVersionLast="47" xr6:coauthVersionMax="47" xr10:uidLastSave="{00000000-0000-0000-0000-000000000000}"/>
  <bookViews>
    <workbookView xWindow="-120" yWindow="-120" windowWidth="29040" windowHeight="15720" activeTab="2" xr2:uid="{194701B8-D3D9-4ED5-9154-204D66C0D187}"/>
  </bookViews>
  <sheets>
    <sheet name="Dashboard" sheetId="19" r:id="rId1"/>
    <sheet name="Extra" sheetId="9" state="hidden" r:id="rId2"/>
    <sheet name="Main Purchase List" sheetId="30" r:id="rId3"/>
    <sheet name="BL Tracking List" sheetId="33" r:id="rId4"/>
    <sheet name="Shipping Line List" sheetId="35" r:id="rId5"/>
    <sheet name="Settings" sheetId="34" r:id="rId6"/>
  </sheets>
  <functionGroups builtInGroupCount="19"/>
  <definedNames>
    <definedName name="_xlpm.acc" hidden="1" xlm="1">#NAME?</definedName>
    <definedName name="_xlpm.adv" hidden="1" xlm="1">#NAME?</definedName>
    <definedName name="_xlpm.advRaw" hidden="1" xlm="1">#NAME?</definedName>
    <definedName name="_xlpm.amt" hidden="1" xlm="1">#NAME?</definedName>
    <definedName name="_xlpm.amtNum" hidden="1" xlm="1">#NAME?</definedName>
    <definedName name="_xlpm.amtR" hidden="1" xlm="1">#NAME?</definedName>
    <definedName name="_xlpm.amtRaw" hidden="1" xlm="1">#NAME?</definedName>
    <definedName name="_xlpm.bl" hidden="1" xlm="1">#NAME?</definedName>
    <definedName name="_xlpm.blRaw" hidden="1" xlm="1">#NAME?</definedName>
    <definedName name="_xlpm.body" hidden="1" xlm="1">#NAME?</definedName>
    <definedName name="_xlpm.c" hidden="1" xlm="1">#NAME?</definedName>
    <definedName name="_xlpm.clean" hidden="1" xlm="1">#NAME?</definedName>
    <definedName name="_xlpm.cleanData" hidden="1" xlm="1">#NAME?</definedName>
    <definedName name="_xlpm.cleaned" hidden="1" xlm="1">#NAME?</definedName>
    <definedName name="_xlpm.CleanMat" hidden="1" xlm="1">#NAME?</definedName>
    <definedName name="_xlpm.CleanMonRaw" hidden="1" xlm="1">#NAME?</definedName>
    <definedName name="_xlpm.cleanMonths" hidden="1" xlm="1">#NAME?</definedName>
    <definedName name="_xlpm.Cn" hidden="1" xlm="1">#NAME?</definedName>
    <definedName name="_xlpm.CnAll" hidden="1" xlm="1">#NAME?</definedName>
    <definedName name="_xlpm.CnCol" hidden="1" xlm="1">#NAME?</definedName>
    <definedName name="_xlpm.CnMatrix" hidden="1" xlm="1">#NAME?</definedName>
    <definedName name="_xlpm.cnt" hidden="1" xlm="1">#NAME?</definedName>
    <definedName name="_xlpm.Cntr" hidden="1" xlm="1">#NAME?</definedName>
    <definedName name="_xlpm.Cntrs" hidden="1" xlm="1">#NAME?</definedName>
    <definedName name="_xlpm.Cols" hidden="1" xlm="1">#NAME?</definedName>
    <definedName name="_xlpm.Combine" hidden="1" xlm="1">#NAME?</definedName>
    <definedName name="_xlpm.Combined" hidden="1" xlm="1">#NAME?</definedName>
    <definedName name="_xlpm.cont" hidden="1" xlm="1">#NAME?</definedName>
    <definedName name="_xlpm.containers" hidden="1" xlm="1">#NAME?</definedName>
    <definedName name="_xlpm.ContCount" hidden="1" xlm="1">#NAME?</definedName>
    <definedName name="_xlpm.conts" hidden="1" xlm="1">#NAME?</definedName>
    <definedName name="_xlpm.contSafe" hidden="1" xlm="1">#NAME?</definedName>
    <definedName name="_xlpm.ct" hidden="1" xlm="1">#NAME?</definedName>
    <definedName name="_xlpm.cts" hidden="1" xlm="1">#NAME?</definedName>
    <definedName name="_xlpm.curMat" hidden="1" xlm="1">#NAME?</definedName>
    <definedName name="_xlpm.curMonth" hidden="1" xlm="1">#NAME?</definedName>
    <definedName name="_xlpm.d" hidden="1" xlm="1">#NAME?</definedName>
    <definedName name="_xlpm.data" hidden="1" xlm="1">#NAME?</definedName>
    <definedName name="_xlpm.DateUnique" hidden="1" xlm="1">#NAME?</definedName>
    <definedName name="_xlpm.det" hidden="1" xlm="1">#NAME?</definedName>
    <definedName name="_xlpm.det_list" hidden="1" xlm="1">#NAME?</definedName>
    <definedName name="_xlpm.details" hidden="1" xlm="1">#NAME?</definedName>
    <definedName name="_xlpm.detList" hidden="1" xlm="1">#NAME?</definedName>
    <definedName name="_xlpm.dets" hidden="1" xlm="1">#NAME?</definedName>
    <definedName name="_xlpm.detsArr" hidden="1" xlm="1">#NAME?</definedName>
    <definedName name="_xlpm.due" hidden="1" xlm="1">#NAME?</definedName>
    <definedName name="_xlpm.dueRaw" hidden="1" xlm="1">#NAME?</definedName>
    <definedName name="_xlpm.eta" hidden="1" xlm="1">#NAME?</definedName>
    <definedName name="_xlpm.ETA_Dates" hidden="1" xlm="1">#NAME?</definedName>
    <definedName name="_xlpm.ETA_raw" hidden="1" xlm="1">#NAME?</definedName>
    <definedName name="_xlpm.etaCol" hidden="1" xlm="1">#NAME?</definedName>
    <definedName name="_xlpm.etaRaw" hidden="1" xlm="1">#NAME?</definedName>
    <definedName name="_xlpm.etd" hidden="1" xlm="1">#NAME?</definedName>
    <definedName name="_xlpm.etdRaw" hidden="1" xlm="1">#NAME?</definedName>
    <definedName name="_xlpm.first" hidden="1" xlm="1">#NAME?</definedName>
    <definedName name="_xlpm.Fix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nv" hidden="1" xlm="1">#NAME?</definedName>
    <definedName name="_xlpm.invRaw" hidden="1" xlm="1">#NAME?</definedName>
    <definedName name="_xlpm.m" hidden="1" xlm="1">#NAME?</definedName>
    <definedName name="_xlpm.mask" hidden="1" xlm="1">#NAME?</definedName>
    <definedName name="_xlpm.maskArray" hidden="1" xlm="1">#NAME?</definedName>
    <definedName name="_xlpm.MaskMat" hidden="1" xlm="1">#NAME?</definedName>
    <definedName name="_xlpm.MaskMonth" hidden="1" xlm="1">#NAME?</definedName>
    <definedName name="_xlpm.mat" hidden="1" xlm="1">#NAME?</definedName>
    <definedName name="_xlpm.MatAll" hidden="1" xlm="1">#NAME?</definedName>
    <definedName name="_xlpm.MatCol" hidden="1" xlm="1">#NAME?</definedName>
    <definedName name="_xlpm.MatCount" hidden="1" xlm="1">#NAME?</definedName>
    <definedName name="_xlpm.Material" hidden="1" xlm="1">#NAME?</definedName>
    <definedName name="_xlpm.MaterialCol" hidden="1" xlm="1">#NAME?</definedName>
    <definedName name="_xlpm.MaterialUnique" hidden="1" xlm="1">#NAME?</definedName>
    <definedName name="_xlpm.matList" hidden="1" xlm="1">#NAME?</definedName>
    <definedName name="_xlpm.MatMatch" hidden="1" xlm="1">#NAME?</definedName>
    <definedName name="_xlpm.MatRaw" hidden="1" xlm="1">#NAME?</definedName>
    <definedName name="_xlpm.mats" hidden="1" xlm="1">#NAME?</definedName>
    <definedName name="_xlpm.MatSrc" hidden="1" xlm="1">#NAME?</definedName>
    <definedName name="_xlpm.matSup" hidden="1" xlm="1">#NAME?</definedName>
    <definedName name="_xlpm.Matt" hidden="1" xlm="1">#NAME?</definedName>
    <definedName name="_xlpm.mEnd" hidden="1" xlm="1">#NAME?</definedName>
    <definedName name="_xlpm.mn" hidden="1" xlm="1">#NAME?</definedName>
    <definedName name="_xlpm.mo" hidden="1" xlm="1">#NAME?</definedName>
    <definedName name="_xlpm.MoFiltered" hidden="1" xlm="1">#NAME?</definedName>
    <definedName name="_xlpm.MoMatch" hidden="1" xlm="1">#NAME?</definedName>
    <definedName name="_xlpm.Mon" hidden="1" xlm="1">#NAME?</definedName>
    <definedName name="_xlpm.MonAll" hidden="1" xlm="1">#NAME?</definedName>
    <definedName name="_xlpm.MonCol" hidden="1" xlm="1">#NAME?</definedName>
    <definedName name="_xlpm.MonKey" hidden="1" xlm="1">#NAME?</definedName>
    <definedName name="_xlpm.MonList" hidden="1" xlm="1">#NAME?</definedName>
    <definedName name="_xlpm.MonRaw" hidden="1" xlm="1">#NAME?</definedName>
    <definedName name="_xlpm.MonSrc" hidden="1" xlm="1">#NAME?</definedName>
    <definedName name="_xlpm.month" hidden="1" xlm="1">#NAME?</definedName>
    <definedName name="_xlpm.MonthCount" hidden="1" xlm="1">#NAME?</definedName>
    <definedName name="_xlpm.MonthEnd" hidden="1" xlm="1">#NAME?</definedName>
    <definedName name="_xlpm.MonthList" hidden="1" xlm="1">#NAME?</definedName>
    <definedName name="_xlpm.MonthListRaw" hidden="1" xlm="1">#NAME?</definedName>
    <definedName name="_xlpm.monthMatch" hidden="1" xlm="1">#NAME?</definedName>
    <definedName name="_xlpm.months" hidden="1" xlm="1">#NAME?</definedName>
    <definedName name="_xlpm.MonthStart" hidden="1" xlm="1">#NAME?</definedName>
    <definedName name="_xlpm.MonthTable" hidden="1" xlm="1">#NAME?</definedName>
    <definedName name="_xlpm.MonthText" hidden="1" xlm="1">#NAME?</definedName>
    <definedName name="_xlpm.MonUni" hidden="1" xlm="1">#NAME?</definedName>
    <definedName name="_xlpm.moRaw" hidden="1" xlm="1">#NAME?</definedName>
    <definedName name="_xlpm.mStart" hidden="1" xlm="1">#NAME?</definedName>
    <definedName name="_xlpm.n" hidden="1" xlm="1">#NAME?</definedName>
    <definedName name="_xlpm.NormalizeDate" hidden="1" xlm="1">#NAME?</definedName>
    <definedName name="_xlpm.NormalizeNum" hidden="1" xlm="1">#NAME?</definedName>
    <definedName name="_xlpm.output" hidden="1" xlm="1">#NAME?</definedName>
    <definedName name="_xlpm.parts" hidden="1" xlm="1">#NAME?</definedName>
    <definedName name="_xlpm.phys" hidden="1" xlm="1">#NAME?</definedName>
    <definedName name="_xlpm.podArrived" hidden="1" xlm="1">#NAME?</definedName>
    <definedName name="_xlpm.qty" hidden="1" xlm="1">#NAME?</definedName>
    <definedName name="_xlpm.qtys" hidden="1" xlm="1">#NAME?</definedName>
    <definedName name="_xlpm.qtySafe" hidden="1" xlm="1">#NAME?</definedName>
    <definedName name="_xlpm.r" hidden="1" xlm="1">#NAME?</definedName>
    <definedName name="_xlpm.raw" hidden="1" xlm="1">#NAME?</definedName>
    <definedName name="_xlpm.rawMonths" hidden="1" xlm="1">#NAME?</definedName>
    <definedName name="_xlpm.result" hidden="1" xlm="1">#NAME?</definedName>
    <definedName name="_xlpm.Results" hidden="1" xlm="1">#NAME?</definedName>
    <definedName name="_xlpm.ResultsTable" hidden="1" xlm="1">#NAME?</definedName>
    <definedName name="_xlpm.rows" hidden="1" xlm="1">#NAME?</definedName>
    <definedName name="_xlpm.rowsData" hidden="1" xlm="1">#NAME?</definedName>
    <definedName name="_xlpm.s" hidden="1" xlm="1">#NAME?</definedName>
    <definedName name="_xlpm.scd" hidden="1" xlm="1">#NAME?</definedName>
    <definedName name="_xlpm.scdRaw" hidden="1" xlm="1">#NAME?</definedName>
    <definedName name="_xlpm.scexp" hidden="1" xlm="1">#NAME?</definedName>
    <definedName name="_xlpm.scperiod" hidden="1" xlm="1">#NAME?</definedName>
    <definedName name="_xlpm.scperiodRaw" hidden="1" xlm="1">#NAME?</definedName>
    <definedName name="_xlpm.sup" hidden="1" xlm="1">#NAME?</definedName>
    <definedName name="_xlpm.SupCol" hidden="1" xlm="1">#NAME?</definedName>
    <definedName name="_xlpm.supList" hidden="1" xlm="1">#NAME?</definedName>
    <definedName name="_xlpm.supp" hidden="1" xlm="1">#NAME?</definedName>
    <definedName name="_xlpm.suppliers" hidden="1" xlm="1">#NAME?</definedName>
    <definedName name="_xlpm.suppRaw" hidden="1" xlm="1">#NAME?</definedName>
    <definedName name="_xlpm.sups" hidden="1" xlm="1">#NAME?</definedName>
    <definedName name="_xlpm.tbl" hidden="1" xlm="1">#NAME?</definedName>
    <definedName name="_xlpm.tc" hidden="1" xlm="1">#NAME?</definedName>
    <definedName name="_xlpm.tol" hidden="1" xlm="1">#NAME?</definedName>
    <definedName name="_xlpm.totalAdv" hidden="1" xlm="1">#NAME?</definedName>
    <definedName name="_xlpm.totalCont" hidden="1" xlm="1">#NAME?</definedName>
    <definedName name="_xlpm.totalInv" hidden="1" xlm="1">#NAME?</definedName>
    <definedName name="_xlpm.totalOut" hidden="1" xlm="1">#NAME?</definedName>
    <definedName name="_xlpm.totalWt" hidden="1" xlm="1">#NAME?</definedName>
    <definedName name="_xlpm.tq" hidden="1" xlm="1">#NAME?</definedName>
    <definedName name="_xlpm.tv" hidden="1" xlm="1">#NAME?</definedName>
    <definedName name="_xlpm.uniqMonths" hidden="1" xlm="1">#NAME?</definedName>
    <definedName name="_xlpm.v" hidden="1" xlm="1">#NAME?</definedName>
    <definedName name="_xlpm.valid" hidden="1" xlm="1">#NAME?</definedName>
    <definedName name="_xlpm.validETA" hidden="1" xlm="1">#NAME?</definedName>
    <definedName name="_xlpm.ValidMask" hidden="1" xlm="1">#NAME?</definedName>
    <definedName name="_xlpm.w" hidden="1" xlm="1">#NAME?</definedName>
    <definedName name="_xlpm.weightNum" hidden="1" xlm="1">#NAME?</definedName>
    <definedName name="_xlpm.weights" hidden="1" xlm="1">#NAME?</definedName>
    <definedName name="_xlpm.weightSafe" hidden="1" xlm="1">#NAME?</definedName>
    <definedName name="_xlpm.WeightSum" hidden="1" xlm="1">#NAME?</definedName>
    <definedName name="_xlpm.wght" hidden="1" xlm="1">#NAME?</definedName>
    <definedName name="_xlpm.wghtRaw" hidden="1" xlm="1">#NAME?</definedName>
    <definedName name="_xlpm.Wnum" hidden="1" xlm="1">#NAME?</definedName>
    <definedName name="_xlpm.wt" hidden="1" xlm="1">#NAME?</definedName>
    <definedName name="_xlpm.WtAll" hidden="1" xlm="1">#NAME?</definedName>
    <definedName name="_xlpm.WtCol" hidden="1" xlm="1">#NAME?</definedName>
    <definedName name="_xlpm.WtMatrix" hidden="1" xlm="1">#NAME?</definedName>
    <definedName name="_xlpm.WtRaw" hidden="1" xlm="1">#NAME?</definedName>
    <definedName name="_xlpm.wts" hidden="1" xlm="1">#NAME?</definedName>
    <definedName name="_xlpm.x" hidden="1" xlm="1">#NAME?</definedName>
    <definedName name="ExternalData_1" localSheetId="3" hidden="1">'BL Tracking List'!$A$1:$L$6</definedName>
    <definedName name="ExternalData_1" localSheetId="4" hidden="1">'Shipping Line List'!$A$1:$G$7</definedName>
    <definedName name="ShippingNames">ShippingLine_Table[display_name]</definedName>
    <definedName name="TodayValue">Extra!$K$1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30" l="1"/>
  <c r="M5" i="30" s="1"/>
  <c r="O6" i="30"/>
  <c r="AD6" i="30" s="1"/>
  <c r="AF6" i="30" s="1"/>
  <c r="O7" i="30"/>
  <c r="AD7" i="30" s="1"/>
  <c r="AF7" i="30" s="1"/>
  <c r="O8" i="30"/>
  <c r="M8" i="30" s="1"/>
  <c r="O9" i="30"/>
  <c r="AD9" i="30" s="1"/>
  <c r="AF9" i="30" s="1"/>
  <c r="O10" i="30"/>
  <c r="AD10" i="30" s="1"/>
  <c r="AF10" i="30" s="1"/>
  <c r="O11" i="30"/>
  <c r="M11" i="30" s="1"/>
  <c r="O12" i="30"/>
  <c r="M12" i="30" s="1"/>
  <c r="O13" i="30"/>
  <c r="M13" i="30" s="1"/>
  <c r="O14" i="30"/>
  <c r="AD14" i="30" s="1"/>
  <c r="AF14" i="30" s="1"/>
  <c r="O15" i="30"/>
  <c r="M15" i="30" s="1"/>
  <c r="O16" i="30"/>
  <c r="M16" i="30" s="1"/>
  <c r="O17" i="30"/>
  <c r="AD17" i="30" s="1"/>
  <c r="AF17" i="30" s="1"/>
  <c r="O18" i="30"/>
  <c r="AD18" i="30" s="1"/>
  <c r="AF18" i="30" s="1"/>
  <c r="O19" i="30"/>
  <c r="M19" i="30" s="1"/>
  <c r="O20" i="30"/>
  <c r="M20" i="30" s="1"/>
  <c r="O21" i="30"/>
  <c r="M21" i="30" s="1"/>
  <c r="O22" i="30"/>
  <c r="AD22" i="30" s="1"/>
  <c r="AF22" i="30" s="1"/>
  <c r="O23" i="30"/>
  <c r="M23" i="30" s="1"/>
  <c r="O24" i="30"/>
  <c r="M24" i="30" s="1"/>
  <c r="O25" i="30"/>
  <c r="AD25" i="30" s="1"/>
  <c r="AF25" i="30" s="1"/>
  <c r="O26" i="30"/>
  <c r="M26" i="30" s="1"/>
  <c r="O27" i="30"/>
  <c r="M27" i="30" s="1"/>
  <c r="O28" i="30"/>
  <c r="M28" i="30" s="1"/>
  <c r="O29" i="30"/>
  <c r="M29" i="30" s="1"/>
  <c r="O30" i="30"/>
  <c r="M30" i="30" s="1"/>
  <c r="O31" i="30"/>
  <c r="M31" i="30" s="1"/>
  <c r="O32" i="30"/>
  <c r="M32" i="30" s="1"/>
  <c r="O33" i="30"/>
  <c r="M33" i="30" s="1"/>
  <c r="O34" i="30"/>
  <c r="M34" i="30" s="1"/>
  <c r="O35" i="30"/>
  <c r="M35" i="30" s="1"/>
  <c r="O36" i="30"/>
  <c r="M36" i="30" s="1"/>
  <c r="O37" i="30"/>
  <c r="M37" i="30" s="1"/>
  <c r="O38" i="30"/>
  <c r="M38" i="30" s="1"/>
  <c r="O39" i="30"/>
  <c r="M39" i="30" s="1"/>
  <c r="O40" i="30"/>
  <c r="M40" i="30" s="1"/>
  <c r="O41" i="30"/>
  <c r="M41" i="30" s="1"/>
  <c r="AD5" i="30"/>
  <c r="AF5" i="30" s="1"/>
  <c r="U7" i="30"/>
  <c r="U5" i="30"/>
  <c r="U8" i="30"/>
  <c r="U9" i="30"/>
  <c r="V9" i="30" s="1"/>
  <c r="U10" i="30"/>
  <c r="U11" i="30"/>
  <c r="U12" i="30"/>
  <c r="U13" i="30"/>
  <c r="V13" i="30" s="1"/>
  <c r="U14" i="30"/>
  <c r="U15" i="30"/>
  <c r="U16" i="30"/>
  <c r="U17" i="30"/>
  <c r="V17" i="30" s="1"/>
  <c r="U18" i="30"/>
  <c r="U19" i="30"/>
  <c r="U20" i="30"/>
  <c r="U21" i="30"/>
  <c r="V21" i="30" s="1"/>
  <c r="U22" i="30"/>
  <c r="U23" i="30"/>
  <c r="U24" i="30"/>
  <c r="V24" i="30" s="1"/>
  <c r="U25" i="30"/>
  <c r="V25" i="30" s="1"/>
  <c r="U26" i="30"/>
  <c r="U27" i="30"/>
  <c r="V27" i="30" s="1"/>
  <c r="U28" i="30"/>
  <c r="V28" i="30" s="1"/>
  <c r="U29" i="30"/>
  <c r="V29" i="30" s="1"/>
  <c r="U30" i="30"/>
  <c r="V30" i="30" s="1"/>
  <c r="U31" i="30"/>
  <c r="V31" i="30" s="1"/>
  <c r="U32" i="30"/>
  <c r="V32" i="30" s="1"/>
  <c r="U33" i="30"/>
  <c r="V33" i="30" s="1"/>
  <c r="U34" i="30"/>
  <c r="V34" i="30" s="1"/>
  <c r="U35" i="30"/>
  <c r="V35" i="30" s="1"/>
  <c r="U36" i="30"/>
  <c r="V36" i="30" s="1"/>
  <c r="U37" i="30"/>
  <c r="V37" i="30" s="1"/>
  <c r="U38" i="30"/>
  <c r="V38" i="30" s="1"/>
  <c r="U39" i="30"/>
  <c r="V39" i="30" s="1"/>
  <c r="U40" i="30"/>
  <c r="V40" i="30" s="1"/>
  <c r="U41" i="30"/>
  <c r="V41" i="30" s="1"/>
  <c r="V26" i="30"/>
  <c r="U6" i="30"/>
  <c r="L6" i="30"/>
  <c r="L7" i="30"/>
  <c r="L5" i="30"/>
  <c r="L8" i="30"/>
  <c r="L9" i="30"/>
  <c r="L10" i="30"/>
  <c r="L11" i="30"/>
  <c r="L12" i="30"/>
  <c r="L13" i="30"/>
  <c r="L14" i="30"/>
  <c r="L15" i="30"/>
  <c r="L16" i="30"/>
  <c r="L17" i="30"/>
  <c r="L18" i="30"/>
  <c r="L19" i="30"/>
  <c r="L20" i="30"/>
  <c r="L21" i="30"/>
  <c r="L22" i="30"/>
  <c r="L23" i="30"/>
  <c r="L24" i="30"/>
  <c r="L25" i="30"/>
  <c r="L26" i="30"/>
  <c r="L27" i="30"/>
  <c r="L28" i="30"/>
  <c r="L29" i="30"/>
  <c r="L30" i="30"/>
  <c r="L31" i="30"/>
  <c r="L32" i="30"/>
  <c r="L33" i="30"/>
  <c r="L34" i="30"/>
  <c r="L35" i="30"/>
  <c r="L36" i="30"/>
  <c r="L37" i="30"/>
  <c r="L38" i="30"/>
  <c r="L39" i="30"/>
  <c r="L40" i="30"/>
  <c r="L41" i="30"/>
  <c r="AG7" i="30" a="1"/>
  <c r="AG7" i="30" s="1"/>
  <c r="AG5" i="30" a="1"/>
  <c r="AG5" i="30" s="1"/>
  <c r="AG8" i="30" a="1"/>
  <c r="AG8" i="30" s="1"/>
  <c r="AG9" i="30" a="1"/>
  <c r="AG9" i="30" s="1"/>
  <c r="AG10" i="30" a="1"/>
  <c r="AG10" i="30" s="1"/>
  <c r="AG11" i="30" a="1"/>
  <c r="AG11" i="30" s="1"/>
  <c r="AG12" i="30" a="1"/>
  <c r="AG12" i="30" s="1"/>
  <c r="AG13" i="30" a="1"/>
  <c r="AG13" i="30" s="1"/>
  <c r="AG14" i="30" a="1"/>
  <c r="AG14" i="30" s="1"/>
  <c r="AG15" i="30" a="1"/>
  <c r="AG15" i="30" s="1"/>
  <c r="AG16" i="30" a="1"/>
  <c r="AG16" i="30" s="1"/>
  <c r="AG17" i="30" a="1"/>
  <c r="AG17" i="30" s="1"/>
  <c r="AG18" i="30" a="1"/>
  <c r="AG18" i="30" s="1"/>
  <c r="AG19" i="30" a="1"/>
  <c r="AG19" i="30" s="1"/>
  <c r="AG20" i="30" a="1"/>
  <c r="AG20" i="30" s="1"/>
  <c r="AG21" i="30" a="1"/>
  <c r="AG21" i="30" s="1"/>
  <c r="AG22" i="30" a="1"/>
  <c r="AG22" i="30" s="1"/>
  <c r="AG23" i="30" a="1"/>
  <c r="AG23" i="30" s="1"/>
  <c r="AG24" i="30" a="1"/>
  <c r="AG24" i="30" s="1"/>
  <c r="AG25" i="30" a="1"/>
  <c r="AG25" i="30" s="1"/>
  <c r="AG6" i="30" a="1"/>
  <c r="AG6" i="30" s="1"/>
  <c r="AE7" i="30"/>
  <c r="AE5" i="30"/>
  <c r="AE8" i="30"/>
  <c r="AE9" i="30"/>
  <c r="AE10" i="30"/>
  <c r="AE11" i="30"/>
  <c r="AE12" i="30"/>
  <c r="AE13" i="30"/>
  <c r="AE14" i="30"/>
  <c r="AE15" i="30"/>
  <c r="AE16" i="30"/>
  <c r="AE17" i="30"/>
  <c r="AE18" i="30"/>
  <c r="AE19" i="30"/>
  <c r="AE20" i="30"/>
  <c r="AE21" i="30"/>
  <c r="AE22" i="30"/>
  <c r="AE23" i="30"/>
  <c r="AE24" i="30"/>
  <c r="AE25" i="30"/>
  <c r="AE6" i="30"/>
  <c r="N7" i="30"/>
  <c r="V7" i="30" s="1"/>
  <c r="N5" i="30"/>
  <c r="N8" i="30"/>
  <c r="N9" i="30"/>
  <c r="N10" i="30"/>
  <c r="N11" i="30"/>
  <c r="N12" i="30"/>
  <c r="V12" i="30" s="1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N41" i="30"/>
  <c r="N6" i="30"/>
  <c r="AD11" i="30"/>
  <c r="AF11" i="30" s="1"/>
  <c r="AD15" i="30"/>
  <c r="AF15" i="30" s="1"/>
  <c r="AD16" i="30"/>
  <c r="AF16" i="30" s="1"/>
  <c r="AD19" i="30"/>
  <c r="AF19" i="30" s="1"/>
  <c r="K7" i="30"/>
  <c r="K5" i="30"/>
  <c r="K8" i="30"/>
  <c r="K9" i="30"/>
  <c r="K10" i="30"/>
  <c r="K11" i="30"/>
  <c r="K12" i="30"/>
  <c r="K13" i="30"/>
  <c r="K14" i="30"/>
  <c r="K15" i="30"/>
  <c r="K16" i="30"/>
  <c r="K17" i="30"/>
  <c r="K18" i="30"/>
  <c r="K19" i="30"/>
  <c r="K20" i="30"/>
  <c r="K21" i="30"/>
  <c r="K22" i="30"/>
  <c r="K23" i="30"/>
  <c r="K24" i="30"/>
  <c r="K25" i="30"/>
  <c r="K26" i="30"/>
  <c r="K27" i="30"/>
  <c r="K28" i="30"/>
  <c r="K29" i="30"/>
  <c r="K30" i="30"/>
  <c r="K31" i="30"/>
  <c r="K32" i="30"/>
  <c r="K33" i="30"/>
  <c r="K34" i="30"/>
  <c r="K35" i="30"/>
  <c r="K36" i="30"/>
  <c r="K37" i="30"/>
  <c r="K38" i="30"/>
  <c r="K39" i="30"/>
  <c r="K40" i="30"/>
  <c r="K41" i="30"/>
  <c r="K6" i="30"/>
  <c r="J7" i="30"/>
  <c r="J5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6" i="30"/>
  <c r="V16" i="30" l="1"/>
  <c r="V8" i="30"/>
  <c r="V23" i="30"/>
  <c r="V15" i="30"/>
  <c r="V5" i="30"/>
  <c r="M7" i="30"/>
  <c r="V22" i="30"/>
  <c r="V14" i="30"/>
  <c r="V6" i="30"/>
  <c r="V20" i="30"/>
  <c r="M22" i="30"/>
  <c r="V19" i="30"/>
  <c r="V11" i="30"/>
  <c r="V18" i="30"/>
  <c r="V10" i="30"/>
  <c r="AD8" i="30"/>
  <c r="AF8" i="30" s="1"/>
  <c r="M14" i="30"/>
  <c r="AD24" i="30"/>
  <c r="AF24" i="30" s="1"/>
  <c r="AD21" i="30"/>
  <c r="AF21" i="30" s="1"/>
  <c r="AD23" i="30"/>
  <c r="AF23" i="30" s="1"/>
  <c r="AD13" i="30"/>
  <c r="AF13" i="30" s="1"/>
  <c r="M6" i="30"/>
  <c r="M18" i="30"/>
  <c r="M10" i="30"/>
  <c r="M25" i="30"/>
  <c r="M17" i="30"/>
  <c r="M9" i="30"/>
  <c r="AD20" i="30"/>
  <c r="AF20" i="30" s="1"/>
  <c r="AD12" i="30"/>
  <c r="AF12" i="30" s="1"/>
  <c r="AH21" i="30"/>
  <c r="AH13" i="30"/>
  <c r="AH20" i="30"/>
  <c r="AH12" i="30"/>
  <c r="AH7" i="30"/>
  <c r="AH22" i="30"/>
  <c r="AH14" i="30"/>
  <c r="AH25" i="30"/>
  <c r="AH17" i="30"/>
  <c r="AH9" i="30"/>
  <c r="AH18" i="30"/>
  <c r="AH10" i="30"/>
  <c r="AH23" i="30"/>
  <c r="AH15" i="30"/>
  <c r="AH5" i="30"/>
  <c r="AH19" i="30"/>
  <c r="AH24" i="30"/>
  <c r="AH16" i="30"/>
  <c r="AH8" i="30"/>
  <c r="AH11" i="30"/>
  <c r="AH6" i="30"/>
  <c r="G4" i="9" s="1" a="1"/>
  <c r="G4" i="9" s="1"/>
  <c r="AH26" i="30"/>
  <c r="AH27" i="30"/>
  <c r="AH28" i="30"/>
  <c r="AH29" i="30"/>
  <c r="AH30" i="30"/>
  <c r="AH31" i="30"/>
  <c r="AH32" i="30"/>
  <c r="AH33" i="30"/>
  <c r="AH34" i="30"/>
  <c r="AH35" i="30"/>
  <c r="AH36" i="30"/>
  <c r="AH37" i="30"/>
  <c r="AH38" i="30"/>
  <c r="AH39" i="30"/>
  <c r="AH40" i="30"/>
  <c r="AH41" i="30"/>
  <c r="I42" i="30"/>
  <c r="I1" i="30" s="1"/>
  <c r="AG26" i="30" a="1"/>
  <c r="AG26" i="30" s="1"/>
  <c r="AG27" i="30" a="1"/>
  <c r="AG27" i="30" s="1"/>
  <c r="AG28" i="30" a="1"/>
  <c r="AG28" i="30" s="1"/>
  <c r="AG29" i="30" a="1"/>
  <c r="AG29" i="30" s="1"/>
  <c r="AG30" i="30" a="1"/>
  <c r="AG30" i="30" s="1"/>
  <c r="AG31" i="30" a="1"/>
  <c r="AG31" i="30" s="1"/>
  <c r="AG32" i="30" a="1"/>
  <c r="AG32" i="30" s="1"/>
  <c r="AG33" i="30" a="1"/>
  <c r="AG33" i="30" s="1"/>
  <c r="AG34" i="30" a="1"/>
  <c r="AG34" i="30" s="1"/>
  <c r="AG35" i="30" a="1"/>
  <c r="AG35" i="30" s="1"/>
  <c r="AG36" i="30" a="1"/>
  <c r="AG36" i="30" s="1"/>
  <c r="AG37" i="30" a="1"/>
  <c r="AG37" i="30" s="1"/>
  <c r="AG38" i="30" a="1"/>
  <c r="AG38" i="30" s="1"/>
  <c r="AG39" i="30" a="1"/>
  <c r="AG39" i="30" s="1"/>
  <c r="AG40" i="30" a="1"/>
  <c r="AG40" i="30" s="1"/>
  <c r="AG41" i="30" a="1"/>
  <c r="AG41" i="30" s="1"/>
  <c r="H72" i="9" l="1" a="1"/>
  <c r="H72" i="9" s="1"/>
  <c r="AH42" i="30"/>
  <c r="K1" i="30" s="1"/>
  <c r="L42" i="30"/>
  <c r="P35" i="30"/>
  <c r="P27" i="30"/>
  <c r="P26" i="30"/>
  <c r="P34" i="30"/>
  <c r="P41" i="30"/>
  <c r="P32" i="30"/>
  <c r="P31" i="30"/>
  <c r="P33" i="30"/>
  <c r="P40" i="30"/>
  <c r="P39" i="30"/>
  <c r="P30" i="30"/>
  <c r="P38" i="30"/>
  <c r="P29" i="30"/>
  <c r="P37" i="30"/>
  <c r="P36" i="30"/>
  <c r="P28" i="30"/>
  <c r="T42" i="30"/>
  <c r="S1" i="30" s="1"/>
  <c r="R42" i="30"/>
  <c r="Q1" i="30" s="1"/>
  <c r="Q42" i="30"/>
  <c r="P1" i="30" s="1"/>
  <c r="U42" i="30" l="1"/>
  <c r="T1" i="30" s="1"/>
  <c r="AE26" i="30"/>
  <c r="AE27" i="30"/>
  <c r="AE28" i="30"/>
  <c r="AE29" i="30"/>
  <c r="AE30" i="30"/>
  <c r="AE31" i="30"/>
  <c r="AE32" i="30"/>
  <c r="AE33" i="30"/>
  <c r="AE34" i="30"/>
  <c r="AE35" i="30"/>
  <c r="AE36" i="30"/>
  <c r="AE37" i="30"/>
  <c r="AE38" i="30"/>
  <c r="AE39" i="30"/>
  <c r="AE40" i="30"/>
  <c r="AE41" i="30"/>
  <c r="AD26" i="30"/>
  <c r="AF26" i="30" s="1"/>
  <c r="AD27" i="30"/>
  <c r="AF27" i="30" s="1"/>
  <c r="AD28" i="30"/>
  <c r="AF28" i="30" s="1"/>
  <c r="AD29" i="30"/>
  <c r="AF29" i="30" s="1"/>
  <c r="AD30" i="30"/>
  <c r="AF30" i="30" s="1"/>
  <c r="AD31" i="30"/>
  <c r="AF31" i="30" s="1"/>
  <c r="AD32" i="30"/>
  <c r="AF32" i="30" s="1"/>
  <c r="AD33" i="30"/>
  <c r="AF33" i="30" s="1"/>
  <c r="AD34" i="30"/>
  <c r="AF34" i="30" s="1"/>
  <c r="AD35" i="30"/>
  <c r="AF35" i="30" s="1"/>
  <c r="AD36" i="30"/>
  <c r="AF36" i="30" s="1"/>
  <c r="AD37" i="30"/>
  <c r="AF37" i="30" s="1"/>
  <c r="AD38" i="30"/>
  <c r="AF38" i="30" s="1"/>
  <c r="AD39" i="30"/>
  <c r="AF39" i="30" s="1"/>
  <c r="AD40" i="30"/>
  <c r="AF40" i="30" s="1"/>
  <c r="AD41" i="30"/>
  <c r="AF41" i="30" s="1"/>
  <c r="K1" i="9"/>
  <c r="W6" i="30" s="1" a="1"/>
  <c r="W6" i="30" s="1"/>
  <c r="W26" i="30" l="1" a="1"/>
  <c r="W26" i="30" s="1"/>
  <c r="W30" i="30" a="1"/>
  <c r="W30" i="30" s="1"/>
  <c r="W34" i="30" a="1"/>
  <c r="W34" i="30" s="1"/>
  <c r="W31" i="30" a="1"/>
  <c r="W31" i="30" s="1"/>
  <c r="W39" i="30" a="1"/>
  <c r="W39" i="30" s="1"/>
  <c r="W27" i="30" a="1"/>
  <c r="W27" i="30" s="1"/>
  <c r="W35" i="30" a="1"/>
  <c r="W35" i="30" s="1"/>
  <c r="W38" i="30" a="1"/>
  <c r="W38" i="30" s="1"/>
  <c r="W32" i="30" a="1"/>
  <c r="W32" i="30" s="1"/>
  <c r="W40" i="30" a="1"/>
  <c r="W40" i="30" s="1"/>
  <c r="W28" i="30" a="1"/>
  <c r="W28" i="30" s="1"/>
  <c r="W36" i="30" a="1"/>
  <c r="W36" i="30" s="1"/>
  <c r="W33" i="30" a="1"/>
  <c r="W33" i="30" s="1"/>
  <c r="W41" i="30" a="1"/>
  <c r="W41" i="30" s="1"/>
  <c r="W29" i="30" a="1"/>
  <c r="W29" i="30" s="1"/>
  <c r="W37" i="30" a="1"/>
  <c r="W37" i="30" s="1"/>
  <c r="W7" i="30" a="1"/>
  <c r="W7" i="30" s="1"/>
  <c r="W16" i="30" a="1"/>
  <c r="W16" i="30" s="1"/>
  <c r="W24" i="30" a="1"/>
  <c r="W24" i="30" s="1"/>
  <c r="W9" i="30" a="1"/>
  <c r="W9" i="30" s="1"/>
  <c r="W13" i="30" a="1"/>
  <c r="W13" i="30" s="1"/>
  <c r="W21" i="30" a="1"/>
  <c r="W21" i="30" s="1"/>
  <c r="W17" i="30" a="1"/>
  <c r="W17" i="30" s="1"/>
  <c r="W25" i="30" a="1"/>
  <c r="W25" i="30" s="1"/>
  <c r="W10" i="30" a="1"/>
  <c r="W10" i="30" s="1"/>
  <c r="W14" i="30" a="1"/>
  <c r="W14" i="30" s="1"/>
  <c r="W22" i="30" a="1"/>
  <c r="W22" i="30" s="1"/>
  <c r="W23" i="30" a="1"/>
  <c r="W23" i="30" s="1"/>
  <c r="W18" i="30" a="1"/>
  <c r="W18" i="30" s="1"/>
  <c r="W19" i="30" a="1"/>
  <c r="W19" i="30" s="1"/>
  <c r="W5" i="30" a="1"/>
  <c r="W5" i="30" s="1"/>
  <c r="W11" i="30" a="1"/>
  <c r="W11" i="30" s="1"/>
  <c r="W15" i="30" a="1"/>
  <c r="W15" i="30" s="1"/>
  <c r="W8" i="30" a="1"/>
  <c r="W8" i="30" s="1"/>
  <c r="W12" i="30" a="1"/>
  <c r="W12" i="30" s="1"/>
  <c r="W20" i="30" a="1"/>
  <c r="W20" i="30" s="1"/>
  <c r="A36" i="9" a="1"/>
  <c r="A36" i="9" s="1"/>
  <c r="H53" i="9" a="1"/>
  <c r="B8" i="9" l="1" a="1"/>
  <c r="B8" i="9" s="1"/>
  <c r="B3" i="9" a="1"/>
  <c r="B3" i="9" s="1"/>
  <c r="C28" i="9" a="1"/>
  <c r="C28" i="9" s="1"/>
  <c r="D28" i="9" a="1"/>
  <c r="D28" i="9" s="1"/>
  <c r="B28" i="9" a="1"/>
  <c r="B28" i="9" s="1"/>
  <c r="D18" i="9" a="1"/>
  <c r="D18" i="9" s="1"/>
  <c r="C18" i="9" a="1"/>
  <c r="C18" i="9" s="1"/>
  <c r="B18" i="9" a="1"/>
  <c r="B18" i="9" s="1"/>
  <c r="C3" i="9" a="1"/>
  <c r="C3" i="9" s="1"/>
  <c r="D3" i="9" a="1"/>
  <c r="D3" i="9" s="1"/>
  <c r="D8" i="9" a="1"/>
  <c r="D8" i="9" s="1"/>
  <c r="C8" i="9" a="1"/>
  <c r="C8" i="9" s="1"/>
  <c r="H53" i="9"/>
  <c r="K53" i="9" s="1" a="1"/>
  <c r="K53" i="9" s="1"/>
  <c r="D23" i="9" a="1"/>
  <c r="D23" i="9" s="1"/>
  <c r="C23" i="9" a="1"/>
  <c r="C23" i="9" s="1"/>
  <c r="B23" i="9" a="1"/>
  <c r="B23" i="9" s="1"/>
  <c r="D13" i="9" a="1"/>
  <c r="D13" i="9" s="1"/>
  <c r="C13" i="9" a="1"/>
  <c r="C13" i="9" s="1"/>
  <c r="B13" i="9" a="1"/>
  <c r="B13" i="9" s="1"/>
  <c r="I53" i="9" l="1" a="1"/>
  <c r="I53" i="9" s="1"/>
  <c r="J53" i="9" a="1"/>
  <c r="J53" i="9" s="1"/>
  <c r="E3" i="9"/>
  <c r="E13" i="9"/>
  <c r="E18" i="9"/>
  <c r="E23" i="9" l="1"/>
  <c r="E8" i="9"/>
  <c r="E28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9451601-770A-45B9-A672-BFB3EA7BB4CD}" keepAlive="1" name="Query - PurchaseList_Table" description="Connection to the 'PurchaseList_Table' query in the workbook." type="5" refreshedVersion="0" background="1">
    <dbPr connection="Provider=Microsoft.Mashup.OleDb.1;Data Source=$Workbook$;Location=PurchaseList_Table;Extended Properties=&quot;&quot;" command="SELECT * FROM [PurchaseList_Table]"/>
  </connection>
  <connection id="2" xr16:uid="{E9D8068F-CF38-4C31-91A5-6DEFEC40836C}" keepAlive="1" name="Query - ResultTable(1)" description="Connection to the 'ResultTable' query in the workbook." type="5" refreshedVersion="8" background="1" saveData="1">
    <dbPr connection="Provider=Microsoft.Mashup.OleDb.1;Data Source=$Workbook$;Location=ResultTable;Extended Properties=&quot;&quot;" command="SELECT * FROM [ResultTable]"/>
  </connection>
  <connection id="3" xr16:uid="{EF8CAD98-5FF5-4F44-BEE4-953ACF52824C}" keepAlive="1" name="Query - ShippingLine_Table" description="Connection to the 'ShippingLine_Table' query in the workbook." type="5" refreshedVersion="8" background="1" saveData="1">
    <dbPr connection="Provider=Microsoft.Mashup.OleDb.1;Data Source=$Workbook$;Location=ShippingLine_Table;Extended Properties=&quot;&quot;" command="SELECT * FROM [ShippingLine_Tab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<sst xmlns="http://schemas.openxmlformats.org/spreadsheetml/2006/main" count="317" uniqueCount="177">
  <si>
    <t>Supplier Code</t>
  </si>
  <si>
    <t>Material</t>
  </si>
  <si>
    <t>BL No</t>
  </si>
  <si>
    <t>ETA</t>
  </si>
  <si>
    <t>Advance Paid</t>
  </si>
  <si>
    <t>Outstanding Amount</t>
  </si>
  <si>
    <t>No. of Containers</t>
  </si>
  <si>
    <t>Weight</t>
  </si>
  <si>
    <t>Total</t>
  </si>
  <si>
    <t>Paid Balance amount</t>
  </si>
  <si>
    <t>Credit Period</t>
  </si>
  <si>
    <t>Outstanding Due Date</t>
  </si>
  <si>
    <t>Remark</t>
  </si>
  <si>
    <t>ETD</t>
  </si>
  <si>
    <t>Total invoice Amount</t>
  </si>
  <si>
    <t>PSIC</t>
  </si>
  <si>
    <t>SIMS</t>
  </si>
  <si>
    <t>Shipping Line</t>
  </si>
  <si>
    <t>oneline</t>
  </si>
  <si>
    <t>Evergreen</t>
  </si>
  <si>
    <t>evergreen</t>
  </si>
  <si>
    <t>Sinokor</t>
  </si>
  <si>
    <t>sinokor</t>
  </si>
  <si>
    <t>Maersk</t>
  </si>
  <si>
    <t>https://www.maersk.com/tracking/</t>
  </si>
  <si>
    <t>maersk</t>
  </si>
  <si>
    <t>MSC</t>
  </si>
  <si>
    <t>msc</t>
  </si>
  <si>
    <t>KMTC</t>
  </si>
  <si>
    <t>ONE</t>
  </si>
  <si>
    <t>MSBU1491236</t>
  </si>
  <si>
    <t>SNKO010251108928</t>
  </si>
  <si>
    <t>Containers</t>
  </si>
  <si>
    <t>Overpaid</t>
  </si>
  <si>
    <t>Due Today</t>
  </si>
  <si>
    <r>
      <t xml:space="preserve">Paid </t>
    </r>
    <r>
      <rPr>
        <b/>
        <sz val="48"/>
        <color theme="0"/>
        <rFont val="Aptos Narrow"/>
        <family val="2"/>
        <scheme val="minor"/>
      </rPr>
      <t>$</t>
    </r>
  </si>
  <si>
    <r>
      <t xml:space="preserve">Outstanding </t>
    </r>
    <r>
      <rPr>
        <b/>
        <sz val="48"/>
        <color theme="0"/>
        <rFont val="Aptos Narrow"/>
        <family val="2"/>
        <scheme val="minor"/>
      </rPr>
      <t>$</t>
    </r>
  </si>
  <si>
    <t>ETA MONTH</t>
  </si>
  <si>
    <t>Total Material</t>
  </si>
  <si>
    <t>ETA Month</t>
  </si>
  <si>
    <t>Total Containers</t>
  </si>
  <si>
    <t>Container List</t>
  </si>
  <si>
    <t>SUUPLIER X MATERIAL SUMMARY</t>
  </si>
  <si>
    <t>SUPPLEIR</t>
  </si>
  <si>
    <t>CONTAINERS</t>
  </si>
  <si>
    <t>TOTAL WEIGHT</t>
  </si>
  <si>
    <t>DETAILED CONTAINERS &amp; WEIGHTS</t>
  </si>
  <si>
    <t>TOTAL MATERIAL SUMMARY</t>
  </si>
  <si>
    <t>MATERIAL ETA BY MONTHS</t>
  </si>
  <si>
    <t>MATERIAL ETA BY MATERIAL QUANTITY</t>
  </si>
  <si>
    <t>CleanMaterial</t>
  </si>
  <si>
    <t>CleanMonth</t>
  </si>
  <si>
    <t>WeightNum</t>
  </si>
  <si>
    <t>Advance Paid Contracts</t>
  </si>
  <si>
    <t>Signed Contracts</t>
  </si>
  <si>
    <t>Loaded Contracts</t>
  </si>
  <si>
    <t>Outstanding payable</t>
  </si>
  <si>
    <t>Overdue</t>
  </si>
  <si>
    <t>Advance &amp; Balance Paid</t>
  </si>
  <si>
    <t>SC / Invoice No.</t>
  </si>
  <si>
    <t>MEDUUX726851</t>
  </si>
  <si>
    <t>SC / Invoice Date</t>
  </si>
  <si>
    <t>SNKO010251204499</t>
  </si>
  <si>
    <t>SNKO010251201113</t>
  </si>
  <si>
    <t>Container No.</t>
  </si>
  <si>
    <t>SC Period</t>
  </si>
  <si>
    <t>Trasnit Days</t>
  </si>
  <si>
    <t>Buyer</t>
  </si>
  <si>
    <t>Container Type</t>
  </si>
  <si>
    <t>kmtc</t>
  </si>
  <si>
    <t>CLN No. of cnt</t>
  </si>
  <si>
    <t>DOCS SET</t>
  </si>
  <si>
    <t>CHA</t>
  </si>
  <si>
    <t>SWB</t>
  </si>
  <si>
    <t>DONE</t>
  </si>
  <si>
    <t>PENDING</t>
  </si>
  <si>
    <t>UPLOADED</t>
  </si>
  <si>
    <t>DRAFT</t>
  </si>
  <si>
    <t>SWB / Release</t>
  </si>
  <si>
    <t>+</t>
  </si>
  <si>
    <t>Options</t>
  </si>
  <si>
    <t>id</t>
  </si>
  <si>
    <t>code</t>
  </si>
  <si>
    <t>display_name</t>
  </si>
  <si>
    <t>scraper_key</t>
  </si>
  <si>
    <t>url</t>
  </si>
  <si>
    <t>active</t>
  </si>
  <si>
    <t>created_at</t>
  </si>
  <si>
    <t>MAE</t>
  </si>
  <si>
    <t>https://www.msc.com/track-a-shipment</t>
  </si>
  <si>
    <t>ONE Line</t>
  </si>
  <si>
    <t>https://ecomm.one-line.com/one-ecom/manage-shipment/cargo-tracking</t>
  </si>
  <si>
    <t>EVG</t>
  </si>
  <si>
    <t>https://www.shipmentlink.com/servlet/TDB1_CargoTracking.do</t>
  </si>
  <si>
    <t>SNK</t>
  </si>
  <si>
    <t>KMT</t>
  </si>
  <si>
    <t>PATHS</t>
  </si>
  <si>
    <t>RESULT.CSV</t>
  </si>
  <si>
    <t>SHIPPING LINE.CSV</t>
  </si>
  <si>
    <t>C:\Users\Appex\AppData\Roaming\scrapper\output\bl_results.csv</t>
  </si>
  <si>
    <t>C:\Users\Appex\AppData\Roaming\scrapper\output\shipping_lines.csv</t>
  </si>
  <si>
    <t>BL</t>
  </si>
  <si>
    <t>Status</t>
  </si>
  <si>
    <t>POL</t>
  </si>
  <si>
    <t>POD</t>
  </si>
  <si>
    <t>Empty Release</t>
  </si>
  <si>
    <t>Last Events</t>
  </si>
  <si>
    <t>Vessel</t>
  </si>
  <si>
    <t>Containers No.</t>
  </si>
  <si>
    <t>1</t>
  </si>
  <si>
    <t>2025-12-30 12:26:11</t>
  </si>
  <si>
    <t>2</t>
  </si>
  <si>
    <t>3</t>
  </si>
  <si>
    <t>4</t>
  </si>
  <si>
    <t>5</t>
  </si>
  <si>
    <t>https://ebiz.sinokor.co.kr/BLDetail?blno=</t>
  </si>
  <si>
    <t>6</t>
  </si>
  <si>
    <t>https://www.ekmtc.com/index.html#/cargo-tracking</t>
  </si>
  <si>
    <t>Success</t>
  </si>
  <si>
    <t>Incheon</t>
  </si>
  <si>
    <t>Mundra</t>
  </si>
  <si>
    <t>05-12-2025</t>
  </si>
  <si>
    <t>13-12-2025</t>
  </si>
  <si>
    <t>17-01-2026</t>
  </si>
  <si>
    <t/>
  </si>
  <si>
    <t>ZHONG GU LAN ZHOU / 2516W</t>
  </si>
  <si>
    <t>1 x 20 D</t>
  </si>
  <si>
    <t>SKLU0731054</t>
  </si>
  <si>
    <t>Goteborg,  SE</t>
  </si>
  <si>
    <t>Mundra,  IN</t>
  </si>
  <si>
    <t>17-11-2025</t>
  </si>
  <si>
    <t>01-12-2025</t>
  </si>
  <si>
    <t>22-01-2026</t>
  </si>
  <si>
    <t>MSC AZRA FW549E</t>
  </si>
  <si>
    <t>1 x 20'/40'</t>
  </si>
  <si>
    <t>JNKOREA</t>
  </si>
  <si>
    <t>10-12-2025</t>
  </si>
  <si>
    <t>12-01-2026</t>
  </si>
  <si>
    <t>ZHONG GU XI AN / 2515W</t>
  </si>
  <si>
    <t>GCXU2426575</t>
  </si>
  <si>
    <t>SKLU0753156</t>
  </si>
  <si>
    <t>FCIU4300201</t>
  </si>
  <si>
    <t>ETA_SORT</t>
  </si>
  <si>
    <t>APEX</t>
  </si>
  <si>
    <t>SWEDN</t>
  </si>
  <si>
    <t>REGULAR</t>
  </si>
  <si>
    <t>JUMBO</t>
  </si>
  <si>
    <t>261528091</t>
  </si>
  <si>
    <t>BENJA</t>
  </si>
  <si>
    <t>ONEYHFAF02526500</t>
  </si>
  <si>
    <t>23 Dry</t>
  </si>
  <si>
    <t>SNKO010251201302</t>
  </si>
  <si>
    <t>SNKO010251201301</t>
  </si>
  <si>
    <t>30 jumbo</t>
  </si>
  <si>
    <t>SNKO010251204496</t>
  </si>
  <si>
    <t>SNKO010251204497</t>
  </si>
  <si>
    <t>SNKO010251204498</t>
  </si>
  <si>
    <t>JUMBO + REGULAR</t>
  </si>
  <si>
    <t>MEDUUX748368</t>
  </si>
  <si>
    <t>OFFCUT + 30</t>
  </si>
  <si>
    <t>KMTCINC5221722</t>
  </si>
  <si>
    <t>OFFCUT</t>
  </si>
  <si>
    <t>KMTCINC5224712</t>
  </si>
  <si>
    <t>30 JUMBO + OFFCUTS</t>
  </si>
  <si>
    <t>KMTCINC5221719</t>
  </si>
  <si>
    <t>MOSHE</t>
  </si>
  <si>
    <t>EGLV588500021577</t>
  </si>
  <si>
    <t>EGLV588500021585</t>
  </si>
  <si>
    <t>EGLV588500021593</t>
  </si>
  <si>
    <t>EGLV588500021607</t>
  </si>
  <si>
    <t>JUMBO 23 + 27</t>
  </si>
  <si>
    <t>23/27/30 PRIME + OFFCUTS</t>
  </si>
  <si>
    <t>JR20251221</t>
  </si>
  <si>
    <t>KMTCINC5233563</t>
  </si>
  <si>
    <t>30 Jumbo</t>
  </si>
  <si>
    <t>30 jumbo gapping</t>
  </si>
  <si>
    <t>offcuts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</si>
</sst>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\ &quot;MT&quot;"/>
    <numFmt numFmtId="165" formatCode="[$$-409]#,##0.00_ ;[Red]\-[$$-409]#,##0.00\ "/>
    <numFmt numFmtId="166" formatCode="0.00\ &quot;MT&quot;"/>
    <numFmt numFmtId="167" formatCode="0\ &quot;Containers&quot;"/>
    <numFmt numFmtId="168" formatCode="[$$-409]\ \ #,##0.00_ ;[Red]\-[$$-409]#,##0.00\ "/>
  </numFmts>
  <fonts count="20" x14ac:knownFonts="1">
    <font>
      <sz val="11"/>
      <color theme="1"/>
      <name val="Aptos Narrow"/>
      <family val="2"/>
      <scheme val="minor"/>
    </font>
    <font>
      <b/>
      <sz val="12"/>
      <color theme="0"/>
      <name val="Lucida Sans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Lucida Sans"/>
      <family val="2"/>
    </font>
    <font>
      <b/>
      <sz val="12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  <font>
      <b/>
      <sz val="2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20"/>
      <color theme="0"/>
      <name val="Lucida Sans"/>
      <family val="2"/>
    </font>
    <font>
      <b/>
      <sz val="16"/>
      <color theme="0"/>
      <name val="Lucida Sans"/>
      <family val="2"/>
    </font>
    <font>
      <b/>
      <sz val="20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4"/>
      <color theme="1"/>
      <name val="Lucida Sans"/>
      <family val="2"/>
    </font>
    <font>
      <b/>
      <sz val="16"/>
      <color theme="0"/>
      <name val="Aptos Narrow"/>
      <family val="2"/>
      <scheme val="minor"/>
    </font>
    <font>
      <b/>
      <sz val="14"/>
      <color theme="0"/>
      <name val="Lucida Sans"/>
      <family val="2"/>
    </font>
    <font>
      <b/>
      <sz val="22"/>
      <color theme="0"/>
      <name val="Lucida Sans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darkDown">
        <fgColor theme="4" tint="-0.499984740745262"/>
        <bgColor theme="4" tint="-0.24994659260841701"/>
      </patternFill>
    </fill>
    <fill>
      <patternFill patternType="gray125">
        <fgColor rgb="FFCCD0CF"/>
        <bgColor rgb="FF9BA8AB"/>
      </patternFill>
    </fill>
    <fill>
      <patternFill patternType="gray0625">
        <fgColor rgb="FFCCD0CF"/>
        <bgColor rgb="FF9BA8AB"/>
      </patternFill>
    </fill>
    <fill>
      <patternFill patternType="gray0625">
        <fgColor rgb="FF9BA8AB"/>
        <bgColor rgb="FFCCD0CF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4" fillId="3" borderId="0" xfId="0" applyFont="1" applyFill="1" applyAlignment="1">
      <alignment horizontal="center" vertical="center" wrapText="1"/>
    </xf>
    <xf numFmtId="166" fontId="7" fillId="4" borderId="0" xfId="0" applyNumberFormat="1" applyFont="1" applyFill="1" applyAlignment="1">
      <alignment horizontal="right" vertical="center" wrapText="1"/>
    </xf>
    <xf numFmtId="0" fontId="0" fillId="4" borderId="0" xfId="0" applyFill="1"/>
    <xf numFmtId="0" fontId="11" fillId="4" borderId="0" xfId="0" applyFont="1" applyFill="1" applyAlignment="1">
      <alignment horizontal="right" vertical="center" wrapText="1"/>
    </xf>
    <xf numFmtId="0" fontId="10" fillId="4" borderId="0" xfId="0" applyFon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/>
    <xf numFmtId="0" fontId="0" fillId="4" borderId="0" xfId="0" applyFill="1" applyAlignment="1">
      <alignment wrapText="1"/>
    </xf>
    <xf numFmtId="0" fontId="14" fillId="0" borderId="0" xfId="0" applyFont="1" applyAlignment="1">
      <alignment horizontal="right"/>
    </xf>
    <xf numFmtId="166" fontId="7" fillId="5" borderId="0" xfId="0" applyNumberFormat="1" applyFont="1" applyFill="1" applyAlignment="1">
      <alignment horizontal="center" vertical="center" wrapText="1"/>
    </xf>
    <xf numFmtId="166" fontId="7" fillId="5" borderId="0" xfId="0" applyNumberFormat="1" applyFont="1" applyFill="1" applyAlignment="1">
      <alignment horizontal="right" vertical="center" wrapText="1"/>
    </xf>
    <xf numFmtId="0" fontId="0" fillId="5" borderId="0" xfId="0" applyFill="1"/>
    <xf numFmtId="167" fontId="7" fillId="5" borderId="0" xfId="0" applyNumberFormat="1" applyFont="1" applyFill="1" applyAlignment="1">
      <alignment horizontal="center" vertical="center" wrapText="1"/>
    </xf>
    <xf numFmtId="167" fontId="7" fillId="5" borderId="0" xfId="0" applyNumberFormat="1" applyFont="1" applyFill="1" applyAlignment="1">
      <alignment horizontal="right" vertical="center" wrapText="1"/>
    </xf>
    <xf numFmtId="0" fontId="6" fillId="6" borderId="0" xfId="0" applyFont="1" applyFill="1" applyAlignment="1">
      <alignment horizontal="left" vertical="center" wrapText="1"/>
    </xf>
    <xf numFmtId="0" fontId="6" fillId="6" borderId="0" xfId="0" applyFont="1" applyFill="1" applyAlignment="1">
      <alignment horizontal="right" vertical="center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horizontal="right" vertical="top" wrapText="1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right"/>
    </xf>
    <xf numFmtId="0" fontId="6" fillId="7" borderId="0" xfId="0" applyFont="1" applyFill="1" applyAlignment="1">
      <alignment wrapText="1"/>
    </xf>
    <xf numFmtId="0" fontId="0" fillId="7" borderId="0" xfId="0" applyFill="1"/>
    <xf numFmtId="0" fontId="6" fillId="8" borderId="0" xfId="0" applyFont="1" applyFill="1" applyAlignment="1">
      <alignment horizontal="center" vertical="center" wrapText="1"/>
    </xf>
    <xf numFmtId="0" fontId="0" fillId="8" borderId="0" xfId="0" applyFill="1" applyAlignment="1">
      <alignment wrapText="1"/>
    </xf>
    <xf numFmtId="164" fontId="0" fillId="8" borderId="0" xfId="0" applyNumberFormat="1" applyFill="1" applyAlignment="1">
      <alignment horizontal="right" wrapText="1"/>
    </xf>
    <xf numFmtId="0" fontId="6" fillId="8" borderId="0" xfId="0" applyFont="1" applyFill="1" applyAlignment="1">
      <alignment wrapText="1"/>
    </xf>
    <xf numFmtId="0" fontId="15" fillId="6" borderId="0" xfId="0" applyFont="1" applyFill="1" applyAlignment="1">
      <alignment horizontal="right" vertical="top" wrapText="1"/>
    </xf>
    <xf numFmtId="0" fontId="15" fillId="6" borderId="0" xfId="0" applyFont="1" applyFill="1" applyAlignment="1">
      <alignment horizontal="right"/>
    </xf>
    <xf numFmtId="0" fontId="0" fillId="8" borderId="0" xfId="0" applyFill="1" applyAlignment="1">
      <alignment horizontal="right" wrapText="1"/>
    </xf>
    <xf numFmtId="0" fontId="0" fillId="2" borderId="0" xfId="0" applyFill="1" applyProtection="1">
      <protection locked="0"/>
    </xf>
    <xf numFmtId="14" fontId="4" fillId="3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0" fontId="5" fillId="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4" fontId="0" fillId="0" borderId="0" xfId="0" applyNumberFormat="1" applyAlignment="1">
      <alignment wrapText="1"/>
    </xf>
    <xf numFmtId="0" fontId="1" fillId="9" borderId="0" xfId="0" applyFont="1" applyFill="1" applyAlignment="1">
      <alignment horizontal="center" vertical="center" wrapText="1"/>
    </xf>
    <xf numFmtId="49" fontId="1" fillId="9" borderId="0" xfId="0" applyNumberFormat="1" applyFont="1" applyFill="1" applyAlignment="1">
      <alignment horizontal="center" vertical="center" wrapText="1"/>
    </xf>
    <xf numFmtId="14" fontId="1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165" fontId="4" fillId="3" borderId="0" xfId="0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right"/>
    </xf>
    <xf numFmtId="14" fontId="4" fillId="0" borderId="0" xfId="0" applyNumberFormat="1" applyFont="1" applyAlignment="1">
      <alignment horizontal="center" vertical="center" wrapText="1"/>
    </xf>
    <xf numFmtId="14" fontId="0" fillId="2" borderId="0" xfId="0" applyNumberFormat="1" applyFill="1"/>
    <xf numFmtId="165" fontId="16" fillId="2" borderId="0" xfId="0" applyNumberFormat="1" applyFont="1" applyFill="1" applyAlignment="1">
      <alignment vertical="center" wrapText="1"/>
    </xf>
    <xf numFmtId="1" fontId="0" fillId="2" borderId="0" xfId="0" applyNumberFormat="1" applyFill="1"/>
    <xf numFmtId="1" fontId="1" fillId="9" borderId="0" xfId="0" applyNumberFormat="1" applyFont="1" applyFill="1" applyAlignment="1">
      <alignment horizontal="center" vertical="center" wrapText="1"/>
    </xf>
    <xf numFmtId="1" fontId="4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0" fontId="18" fillId="9" borderId="0" xfId="0" applyFont="1" applyFill="1" applyAlignment="1">
      <alignment horizontal="center" vertical="center" wrapText="1"/>
    </xf>
    <xf numFmtId="1" fontId="18" fillId="9" borderId="0" xfId="0" applyNumberFormat="1" applyFont="1" applyFill="1" applyAlignment="1">
      <alignment horizontal="center" vertical="center" wrapText="1"/>
    </xf>
    <xf numFmtId="165" fontId="18" fillId="9" borderId="0" xfId="0" applyNumberFormat="1" applyFont="1" applyFill="1" applyAlignment="1">
      <alignment horizontal="center" vertical="center" wrapText="1"/>
    </xf>
    <xf numFmtId="0" fontId="7" fillId="9" borderId="0" xfId="0" applyFont="1" applyFill="1"/>
    <xf numFmtId="49" fontId="4" fillId="0" borderId="0" xfId="0" applyNumberFormat="1" applyFont="1" applyAlignment="1">
      <alignment horizontal="center" vertical="center"/>
    </xf>
    <xf numFmtId="166" fontId="18" fillId="9" borderId="0" xfId="0" applyNumberFormat="1" applyFont="1" applyFill="1" applyAlignment="1">
      <alignment horizontal="center" vertical="center" wrapText="1"/>
    </xf>
    <xf numFmtId="166" fontId="0" fillId="2" borderId="0" xfId="0" applyNumberFormat="1" applyFill="1"/>
    <xf numFmtId="2" fontId="4" fillId="0" borderId="0" xfId="0" applyNumberFormat="1" applyFont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0" fillId="0" borderId="2" xfId="0" applyBorder="1"/>
    <xf numFmtId="0" fontId="6" fillId="0" borderId="3" xfId="0" applyFont="1" applyBorder="1"/>
    <xf numFmtId="0" fontId="0" fillId="0" borderId="4" xfId="0" applyBorder="1"/>
    <xf numFmtId="0" fontId="6" fillId="0" borderId="5" xfId="0" applyFont="1" applyBorder="1"/>
    <xf numFmtId="0" fontId="0" fillId="0" borderId="6" xfId="0" applyBorder="1"/>
    <xf numFmtId="0" fontId="0" fillId="0" borderId="7" xfId="0" applyBorder="1"/>
    <xf numFmtId="0" fontId="6" fillId="0" borderId="8" xfId="0" applyFont="1" applyBorder="1"/>
    <xf numFmtId="0" fontId="0" fillId="0" borderId="9" xfId="0" applyBorder="1"/>
    <xf numFmtId="0" fontId="0" fillId="0" borderId="10" xfId="0" applyBorder="1"/>
    <xf numFmtId="0" fontId="2" fillId="7" borderId="0" xfId="0" applyFont="1" applyFill="1" applyAlignment="1">
      <alignment horizontal="center" wrapText="1"/>
    </xf>
    <xf numFmtId="0" fontId="2" fillId="8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wrapText="1"/>
    </xf>
    <xf numFmtId="0" fontId="12" fillId="5" borderId="0" xfId="0" applyFont="1" applyFill="1" applyAlignment="1">
      <alignment horizontal="right" wrapText="1"/>
    </xf>
    <xf numFmtId="168" fontId="13" fillId="5" borderId="0" xfId="0" applyNumberFormat="1" applyFont="1" applyFill="1" applyAlignment="1">
      <alignment horizontal="center" vertical="center"/>
    </xf>
    <xf numFmtId="168" fontId="13" fillId="5" borderId="0" xfId="0" applyNumberFormat="1" applyFont="1" applyFill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  <xf numFmtId="0" fontId="10" fillId="5" borderId="0" xfId="0" applyFont="1" applyFill="1" applyAlignment="1">
      <alignment horizontal="right"/>
    </xf>
    <xf numFmtId="165" fontId="17" fillId="9" borderId="0" xfId="0" applyNumberFormat="1" applyFont="1" applyFill="1" applyAlignment="1">
      <alignment horizontal="center" vertical="center" wrapText="1"/>
    </xf>
    <xf numFmtId="165" fontId="17" fillId="9" borderId="1" xfId="0" applyNumberFormat="1" applyFont="1" applyFill="1" applyBorder="1" applyAlignment="1">
      <alignment horizontal="center" vertical="center" wrapText="1"/>
    </xf>
    <xf numFmtId="0" fontId="17" fillId="9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166" fontId="17" fillId="9" borderId="0" xfId="0" applyNumberFormat="1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4" fillId="3" borderId="0" xfId="0" applyNumberFormat="1" applyFont="1" applyFill="1" applyAlignment="1">
      <alignment horizontal="center" vertical="center" wrapText="1"/>
    </xf>
  </cellXfs>
  <cellStyles count="1">
    <cellStyle name="Normal" xfId="0" builtinId="0"/>
  </cellStyles>
  <dxfs count="116"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ont>
        <b/>
        <i val="0"/>
        <u val="double"/>
      </font>
      <fill>
        <patternFill>
          <bgColor theme="9"/>
        </patternFill>
      </fill>
    </dxf>
    <dxf>
      <font>
        <b/>
        <i val="0"/>
        <strike val="0"/>
        <u val="none"/>
        <color rgb="FFC00000"/>
      </font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bottom style="thin">
          <color auto="1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theme="5"/>
      </font>
      <border>
        <left/>
        <right/>
        <top/>
        <bottom style="thin">
          <color theme="5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ont>
        <b/>
        <i val="0"/>
        <u/>
        <color rgb="FFC00000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u/>
        <color rgb="FF4FA52D"/>
      </font>
      <border>
        <left/>
        <right/>
        <top/>
        <bottom style="thin">
          <color rgb="FF4FA52D"/>
        </bottom>
        <vertical/>
        <horizontal/>
      </border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9393"/>
        </patternFill>
      </fill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" formatCode="0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numFmt numFmtId="166" formatCode="0.00\ &quot;MT&quot;"/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9" formatCode="dd/mm/yyyy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165" formatCode="[$$-409]#,##0.00_ ;[Red]\-[$$-409]#,##0.00\ 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" formatCode="0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9" formatCode="0\ &quot; ft&quot;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0" formatCode="General"/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0.000\ &quot;MT&quot;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2" formatCode="0.0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strike val="0"/>
        <outline val="0"/>
        <shadow val="0"/>
        <u val="none"/>
        <vertAlign val="baseline"/>
        <sz val="14"/>
        <color theme="0"/>
      </font>
      <fill>
        <patternFill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name val="Lucida Sans"/>
        <family val="2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0"/>
        <name val="Lucida Sans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4FA52D"/>
      <color rgb="FFFF9393"/>
      <color rgb="FFFFCCCC"/>
      <color rgb="FF9BA8AB"/>
      <color rgb="FFCCD0CF"/>
      <color rgb="FF253745"/>
      <color rgb="FF112250"/>
      <color rgb="FF4A5C6A"/>
      <color rgb="FF11212D"/>
      <color rgb="FF1C2E4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</xdr:colOff>
          <xdr:row>9</xdr:row>
          <xdr:rowOff>34039</xdr:rowOff>
        </xdr:to>
        <mc:AlternateContent>
          <mc:Choice Requires="a14">
            <xdr:pic>
              <xdr:nvPicPr>
                <xdr:cNvPr id="11" name="Picture 10">
                  <a:extLst>
                    <a:ext uri="{FF2B5EF4-FFF2-40B4-BE49-F238E27FC236}">
                      <a16:creationId xmlns:a16="http://schemas.microsoft.com/office/drawing/2014/main" id="{64C0644B-024B-0F4D-6134-C348F7340080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Extra!$A$1:$E$9" spid="_x0000_s77859"/>
                    </a:ext>
                  </a:extLst>
                </xdr:cNvPicPr>
              </xdr:nvPicPr>
              <xdr:blipFill>
                <a:blip xmlns:r="http://schemas.openxmlformats.org/officeDocument/2006/relationships" r:embed="rId1"/>
                <a:srcRect/>
                <a:stretch>
                  <a:fillRect/>
                </a:stretch>
              </xdr:blipFill>
              <xdr:spPr bwMode="auto">
                <a:xfrm>
                  <a:off x="0" y="0"/>
                  <a:ext cx="7934325" cy="1748539"/>
                </a:xfrm>
                <a:prstGeom prst="rect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</xdr:pic>
          </mc:Choice>
          <mc:Fallback xmlns=""/>
        </mc:AlternateContent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152401</xdr:rowOff>
        </xdr:from>
        <xdr:to>
          <xdr:col>13</xdr:col>
          <xdr:colOff>19050</xdr:colOff>
          <xdr:row>18</xdr:row>
          <xdr:rowOff>188539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73279EA1-B4EA-18DB-EC2E-4F232DBF109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11:$E$19" spid="_x0000_s7786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1866901"/>
              <a:ext cx="7943850" cy="1750638"/>
            </a:xfrm>
            <a:prstGeom prst="rect">
              <a:avLst/>
            </a:prstGeom>
            <a:solidFill>
              <a:schemeClr val="accent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2</xdr:row>
          <xdr:rowOff>19050</xdr:rowOff>
        </xdr:from>
        <xdr:to>
          <xdr:col>18</xdr:col>
          <xdr:colOff>381000</xdr:colOff>
          <xdr:row>27</xdr:row>
          <xdr:rowOff>118588</xdr:rowOff>
        </xdr:to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37224884-1E3D-A90A-AED2-FCE01C25E06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G$1:$I$21" spid="_x0000_s7786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001000" y="400050"/>
              <a:ext cx="3352800" cy="4862038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29</xdr:row>
          <xdr:rowOff>47625</xdr:rowOff>
        </xdr:from>
        <xdr:to>
          <xdr:col>29</xdr:col>
          <xdr:colOff>114300</xdr:colOff>
          <xdr:row>47</xdr:row>
          <xdr:rowOff>133350</xdr:rowOff>
        </xdr:to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90A59B43-9046-E1EF-F778-20753CF4859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35:$D$50" spid="_x0000_s7786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7943850" y="5572125"/>
              <a:ext cx="9848850" cy="3514725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457199</xdr:colOff>
          <xdr:row>0</xdr:row>
          <xdr:rowOff>9524</xdr:rowOff>
        </xdr:from>
        <xdr:to>
          <xdr:col>29</xdr:col>
          <xdr:colOff>180974</xdr:colOff>
          <xdr:row>29</xdr:row>
          <xdr:rowOff>28575</xdr:rowOff>
        </xdr:to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5CBF2027-C8A5-17E9-C546-8F305E3145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51:$K$65" spid="_x0000_s7786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429999" y="9524"/>
              <a:ext cx="6429375" cy="5543551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29</xdr:row>
          <xdr:rowOff>46731</xdr:rowOff>
        </xdr:from>
        <xdr:to>
          <xdr:col>12</xdr:col>
          <xdr:colOff>571500</xdr:colOff>
          <xdr:row>137</xdr:row>
          <xdr:rowOff>28575</xdr:rowOff>
        </xdr:to>
        <xdr:pic>
          <xdr:nvPicPr>
            <xdr:cNvPr id="19" name="Picture 18">
              <a:extLst>
                <a:ext uri="{FF2B5EF4-FFF2-40B4-BE49-F238E27FC236}">
                  <a16:creationId xmlns:a16="http://schemas.microsoft.com/office/drawing/2014/main" id="{98395C87-976A-92C3-BFF4-8F6A60831C7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H$70:$K$100" spid="_x0000_s77864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524" y="5571231"/>
              <a:ext cx="7877176" cy="20555844"/>
            </a:xfrm>
            <a:prstGeom prst="rect">
              <a:avLst/>
            </a:prstGeom>
            <a:solidFill>
              <a:schemeClr val="bg1">
                <a:lumMod val="50000"/>
              </a:schemeClr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19</xdr:row>
          <xdr:rowOff>161926</xdr:rowOff>
        </xdr:from>
        <xdr:to>
          <xdr:col>13</xdr:col>
          <xdr:colOff>1</xdr:colOff>
          <xdr:row>29</xdr:row>
          <xdr:rowOff>3366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A2C9679-DF87-79A5-8D5A-68CA2CFC25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Extra!$A$21:$E$29" spid="_x0000_s77865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" y="3781426"/>
              <a:ext cx="7924800" cy="1746440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481854</xdr:colOff>
      <xdr:row>0</xdr:row>
      <xdr:rowOff>52802</xdr:rowOff>
    </xdr:from>
    <xdr:to>
      <xdr:col>7</xdr:col>
      <xdr:colOff>750794</xdr:colOff>
      <xdr:row>2</xdr:row>
      <xdr:rowOff>169219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858AB176-9AA6-6EDD-770F-9B65FE92F7FA}"/>
            </a:ext>
          </a:extLst>
        </xdr:cNvPr>
        <xdr:cNvSpPr/>
      </xdr:nvSpPr>
      <xdr:spPr>
        <a:xfrm>
          <a:off x="5266766" y="52802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FETCH SLELECTED🔄️</a:t>
          </a:r>
        </a:p>
      </xdr:txBody>
    </xdr:sp>
    <xdr:clientData/>
  </xdr:twoCellAnchor>
  <xdr:twoCellAnchor editAs="absolute">
    <xdr:from>
      <xdr:col>14</xdr:col>
      <xdr:colOff>201291</xdr:colOff>
      <xdr:row>0</xdr:row>
      <xdr:rowOff>147731</xdr:rowOff>
    </xdr:from>
    <xdr:to>
      <xdr:col>14</xdr:col>
      <xdr:colOff>839780</xdr:colOff>
      <xdr:row>2</xdr:row>
      <xdr:rowOff>136798</xdr:rowOff>
    </xdr:to>
    <xdr:sp macro="[0]!SortPurchaseListByETA" textlink="">
      <xdr:nvSpPr>
        <xdr:cNvPr id="4" name="Rectangle 3">
          <a:extLst>
            <a:ext uri="{FF2B5EF4-FFF2-40B4-BE49-F238E27FC236}">
              <a16:creationId xmlns:a16="http://schemas.microsoft.com/office/drawing/2014/main" id="{EF1F1DB5-653F-4E22-B789-8383C2F56548}"/>
            </a:ext>
          </a:extLst>
        </xdr:cNvPr>
        <xdr:cNvSpPr/>
      </xdr:nvSpPr>
      <xdr:spPr>
        <a:xfrm>
          <a:off x="11085565" y="147731"/>
          <a:ext cx="638489" cy="44850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>
              <a:ln>
                <a:noFill/>
              </a:ln>
              <a:solidFill>
                <a:schemeClr val="lt1"/>
              </a:solidFill>
            </a:rPr>
            <a:t>🔃</a:t>
          </a:r>
        </a:p>
      </xdr:txBody>
    </xdr:sp>
    <xdr:clientData/>
  </xdr:twoCellAnchor>
  <xdr:twoCellAnchor editAs="absolute">
    <xdr:from>
      <xdr:col>0</xdr:col>
      <xdr:colOff>52335</xdr:colOff>
      <xdr:row>0</xdr:row>
      <xdr:rowOff>52335</xdr:rowOff>
    </xdr:from>
    <xdr:to>
      <xdr:col>2</xdr:col>
      <xdr:colOff>251208</xdr:colOff>
      <xdr:row>2</xdr:row>
      <xdr:rowOff>157006</xdr:rowOff>
    </xdr:to>
    <xdr:sp macro="[0]!RunParallelScraper" textlink="">
      <xdr:nvSpPr>
        <xdr:cNvPr id="5" name="Rectangle 4">
          <a:extLst>
            <a:ext uri="{FF2B5EF4-FFF2-40B4-BE49-F238E27FC236}">
              <a16:creationId xmlns:a16="http://schemas.microsoft.com/office/drawing/2014/main" id="{7F64113A-216B-4E9A-B296-7DFD5756D7AF}"/>
            </a:ext>
          </a:extLst>
        </xdr:cNvPr>
        <xdr:cNvSpPr/>
      </xdr:nvSpPr>
      <xdr:spPr>
        <a:xfrm>
          <a:off x="52335" y="52335"/>
          <a:ext cx="2742362" cy="575687"/>
        </a:xfrm>
        <a:prstGeom prst="rect">
          <a:avLst/>
        </a:prstGeom>
        <a:solidFill>
          <a:schemeClr val="accent1">
            <a:lumMod val="75000"/>
          </a:schemeClr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>
          <a:noAutofit/>
        </a:bodyPr>
        <a:lstStyle/>
        <a:p>
          <a:pPr algn="l"/>
          <a:r>
            <a:rPr lang="en-US" sz="1600" b="1">
              <a:ln>
                <a:noFill/>
              </a:ln>
              <a:solidFill>
                <a:schemeClr val="lt1"/>
              </a:solidFill>
            </a:rPr>
            <a:t>REFRESH ALL ETA'S 🔄️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17</xdr:row>
      <xdr:rowOff>38100</xdr:rowOff>
    </xdr:from>
    <xdr:to>
      <xdr:col>2</xdr:col>
      <xdr:colOff>266700</xdr:colOff>
      <xdr:row>20</xdr:row>
      <xdr:rowOff>42458</xdr:rowOff>
    </xdr:to>
    <xdr:sp macro="[0]!Btn_RunSingle" textlink="">
      <xdr:nvSpPr>
        <xdr:cNvPr id="2" name="Rectangle 1">
          <a:extLst>
            <a:ext uri="{FF2B5EF4-FFF2-40B4-BE49-F238E27FC236}">
              <a16:creationId xmlns:a16="http://schemas.microsoft.com/office/drawing/2014/main" id="{69FDA1F0-5118-436E-819B-B73B8D690EB6}"/>
            </a:ext>
          </a:extLst>
        </xdr:cNvPr>
        <xdr:cNvSpPr/>
      </xdr:nvSpPr>
      <xdr:spPr>
        <a:xfrm>
          <a:off x="0" y="3314700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Check For Updates</a:t>
          </a:r>
        </a:p>
      </xdr:txBody>
    </xdr:sp>
    <xdr:clientData/>
  </xdr:twoCellAnchor>
  <xdr:twoCellAnchor editAs="absolute">
    <xdr:from>
      <xdr:col>0</xdr:col>
      <xdr:colOff>0</xdr:colOff>
      <xdr:row>12</xdr:row>
      <xdr:rowOff>28575</xdr:rowOff>
    </xdr:from>
    <xdr:to>
      <xdr:col>2</xdr:col>
      <xdr:colOff>266700</xdr:colOff>
      <xdr:row>15</xdr:row>
      <xdr:rowOff>32933</xdr:rowOff>
    </xdr:to>
    <xdr:sp macro="[0]!ApplyDefaultFormulas" textlink="">
      <xdr:nvSpPr>
        <xdr:cNvPr id="4" name="Rectangle 3">
          <a:extLst>
            <a:ext uri="{FF2B5EF4-FFF2-40B4-BE49-F238E27FC236}">
              <a16:creationId xmlns:a16="http://schemas.microsoft.com/office/drawing/2014/main" id="{B6BC936D-6DAE-4D50-9484-1DBC286F35E5}"/>
            </a:ext>
          </a:extLst>
        </xdr:cNvPr>
        <xdr:cNvSpPr/>
      </xdr:nvSpPr>
      <xdr:spPr>
        <a:xfrm>
          <a:off x="0" y="2352675"/>
          <a:ext cx="2228850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400" b="1">
              <a:ln>
                <a:noFill/>
              </a:ln>
              <a:solidFill>
                <a:schemeClr val="lt1"/>
              </a:solidFill>
            </a:rPr>
            <a:t>RESET RESULTS &amp; FORMULAS🔄️</a:t>
          </a:r>
        </a:p>
      </xdr:txBody>
    </xdr:sp>
    <xdr:clientData/>
  </xdr:twoCellAnchor>
  <xdr:twoCellAnchor editAs="absolute">
    <xdr:from>
      <xdr:col>13</xdr:col>
      <xdr:colOff>581025</xdr:colOff>
      <xdr:row>0</xdr:row>
      <xdr:rowOff>47625</xdr:rowOff>
    </xdr:from>
    <xdr:to>
      <xdr:col>17</xdr:col>
      <xdr:colOff>92447</xdr:colOff>
      <xdr:row>3</xdr:row>
      <xdr:rowOff>42458</xdr:rowOff>
    </xdr:to>
    <xdr:sp macro="[0]!test" textlink="">
      <xdr:nvSpPr>
        <xdr:cNvPr id="3" name="Rectangle 2">
          <a:extLst>
            <a:ext uri="{FF2B5EF4-FFF2-40B4-BE49-F238E27FC236}">
              <a16:creationId xmlns:a16="http://schemas.microsoft.com/office/drawing/2014/main" id="{35884EDE-DC24-47C9-B84F-7B89E27E6F48}"/>
            </a:ext>
          </a:extLst>
        </xdr:cNvPr>
        <xdr:cNvSpPr/>
      </xdr:nvSpPr>
      <xdr:spPr>
        <a:xfrm>
          <a:off x="9286875" y="47625"/>
          <a:ext cx="1949822" cy="575858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400" b="1">
              <a:ln>
                <a:noFill/>
              </a:ln>
              <a:solidFill>
                <a:schemeClr val="lt1"/>
              </a:solidFill>
            </a:rPr>
            <a:t>TEST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E6D63428-1905-4433-B064-6C93C465B412}" autoFormatId="16" applyNumberFormats="0" applyBorderFormats="0" applyFontFormats="0" applyPatternFormats="0" applyAlignmentFormats="0" applyWidthHeightFormats="0">
  <queryTableRefresh nextId="27">
    <queryTableFields count="12">
      <queryTableField id="15" name="BL" tableColumnId="1"/>
      <queryTableField id="16" name="Status" tableColumnId="2"/>
      <queryTableField id="17" name="POL" tableColumnId="3"/>
      <queryTableField id="18" name="POD" tableColumnId="4"/>
      <queryTableField id="19" name="Empty Release" tableColumnId="5"/>
      <queryTableField id="20" name="ETD" tableColumnId="6"/>
      <queryTableField id="21" name="ETA" tableColumnId="7"/>
      <queryTableField id="22" name="Last Events" tableColumnId="8"/>
      <queryTableField id="23" name="Vessel" tableColumnId="9"/>
      <queryTableField id="24" name="Container Type" tableColumnId="10"/>
      <queryTableField id="25" name="No. of Containers" tableColumnId="11"/>
      <queryTableField id="26" name="Containers No.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2C35C3A-01F0-4ECA-BBA4-BC32E587B68C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code" tableColumnId="2"/>
      <queryTableField id="3" name="display_name" tableColumnId="3"/>
      <queryTableField id="4" name="scraper_key" tableColumnId="4"/>
      <queryTableField id="5" name="url" tableColumnId="5"/>
      <queryTableField id="6" name="active" tableColumnId="6"/>
      <queryTableField id="7" name="created_at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43BDE2E-5284-45F2-B9CF-EE8BF8A1E439}" name="PurchaseList_Table" displayName="PurchaseList_Table" ref="A4:AH42" totalsRowCount="1" headerRowDxfId="115" dataDxfId="114" totalsRowDxfId="113">
  <autoFilter ref="A4:AH41" xr:uid="{043BDE2E-5284-45F2-B9CF-EE8BF8A1E439}"/>
  <sortState xmlns:xlrd2="http://schemas.microsoft.com/office/spreadsheetml/2017/richdata2" ref="A5:AH41">
    <sortCondition ref="M4:M42"/>
  </sortState>
  <tableColumns count="34">
    <tableColumn id="8" xr3:uid="{21673799-FE31-4C71-A127-4A2103CEB43F}" name="Buyer" dataDxfId="105" totalsRowDxfId="71"/>
    <tableColumn id="1" xr3:uid="{D852F1B4-4E55-4188-BE5F-9E5DADA368C9}" name="Supplier Code" dataDxfId="104" totalsRowDxfId="70"/>
    <tableColumn id="2" xr3:uid="{5927B451-BF56-476D-821D-C1B920451EDA}" name="Material" dataDxfId="103" totalsRowDxfId="69"/>
    <tableColumn id="23" xr3:uid="{D7182449-2D89-40A9-85A3-9952B53829E6}" name="SC / Invoice Date" dataDxfId="102" totalsRowDxfId="68"/>
    <tableColumn id="3" xr3:uid="{A0E3F02B-99C5-48E2-A5E8-915EFD751BC5}" name="SC / Invoice No." dataDxfId="101" totalsRowDxfId="67"/>
    <tableColumn id="22" xr3:uid="{1F7DE952-B9AE-40F5-9FFF-F611E6A97D0C}" name="SC Period" dataDxfId="100" totalsRowDxfId="66"/>
    <tableColumn id="4" xr3:uid="{BA8A0D79-91FB-4746-B728-FC79D550ACA8}" name="BL No" dataDxfId="99" totalsRowDxfId="65"/>
    <tableColumn id="5" xr3:uid="{21819620-98E5-4873-BC56-8370415099ED}" name="Shipping Line" dataDxfId="98" totalsRowDxfId="64"/>
    <tableColumn id="24" xr3:uid="{19B6880A-6363-4B87-A425-C019153F8FFD}" name="Weight" totalsRowFunction="sum" dataDxfId="97" totalsRowDxfId="63"/>
    <tableColumn id="25" xr3:uid="{AF5F2ACF-68D8-40CA-897B-83766D47AA3C}" name="Container No." dataDxfId="96" totalsRowDxfId="62">
      <calculatedColumnFormula>_xlfn.XLOOKUP(PurchaseList_Table[[#This Row],[BL No]],ResultTable[BL], ResultTable[Containers No.], "")</calculatedColumnFormula>
    </tableColumn>
    <tableColumn id="6" xr3:uid="{38FE0A88-9ED2-4F0D-A5A5-57ED341D01E2}" name="Container Type" dataDxfId="95" totalsRowDxfId="61">
      <calculatedColumnFormula>_xlfn.XLOOKUP(PurchaseList_Table[[#This Row],[BL No]],ResultTable[BL], ResultTable[Container Type], "")</calculatedColumnFormula>
    </tableColumn>
    <tableColumn id="27" xr3:uid="{A0535959-A425-4667-8AFE-AF6F3F5565BE}" name="No. of Containers" totalsRowFunction="sum" dataDxfId="94" totalsRowDxfId="60">
      <calculatedColumnFormula>_xlfn.XLOOKUP(PurchaseList_Table[[#This Row],[BL No]],ResultTable[BL], ResultTable[No. of Containers], "")</calculatedColumnFormula>
    </tableColumn>
    <tableColumn id="31" xr3:uid="{BEBBF14C-4BD8-4E03-9295-726E90CAF467}" name="ETA_SORT" dataDxfId="93" totalsRowDxfId="59">
      <calculatedColumnFormula>IF(PurchaseList_Table[[#This Row],[ETA]]="", 2958465, VALUE(PurchaseList_Table[[#This Row],[ETA]]))</calculatedColumnFormula>
    </tableColumn>
    <tableColumn id="10" xr3:uid="{7A76C0FC-793C-4C04-9EE5-0AEA22B354FE}" name="ETD" dataDxfId="92" totalsRowDxfId="58">
      <calculatedColumnFormula>_xlfn.XLOOKUP(PurchaseList_Table[[#This Row],[BL No]],ResultTable[BL], ResultTable[ETD], "")</calculatedColumnFormula>
    </tableColumn>
    <tableColumn id="9" xr3:uid="{53F344AF-6B0F-4D1F-9A03-C95F7AA276F7}" name="ETA" dataDxfId="91" totalsRowDxfId="57">
      <calculatedColumnFormula>_xlfn.XLOOKUP(PurchaseList_Table[[#This Row],[BL No]],ResultTable[BL], ResultTable[ETA], "")</calculatedColumnFormula>
    </tableColumn>
    <tableColumn id="26" xr3:uid="{68F8C6A1-5A4D-4CD0-9BB7-64FA621C9DEA}" name="Trasnit Days" dataDxfId="90" totalsRowDxfId="56">
      <calculatedColumnFormula>IF(AND(PurchaseList_Table[[#This Row],[ETA]]&lt;&gt;"",PurchaseList_Table[[#This Row],[ETD]]&lt;&gt;""),PurchaseList_Table[[#This Row],[ETA]]-PurchaseList_Table[[#This Row],[ETD]],"")</calculatedColumnFormula>
    </tableColumn>
    <tableColumn id="11" xr3:uid="{124D0C60-44F2-41FC-880B-56CCD86849F2}" name="Advance Paid" totalsRowFunction="sum" dataDxfId="89" totalsRowDxfId="55"/>
    <tableColumn id="12" xr3:uid="{4BF48BFF-7229-489F-9058-8A90A99FF09C}" name="Total invoice Amount" totalsRowFunction="sum" dataDxfId="88" totalsRowDxfId="54"/>
    <tableColumn id="13" xr3:uid="{2E49F1B0-CF17-4D41-BB29-5274C156AEC5}" name="Credit Period" dataDxfId="87" totalsRowDxfId="53"/>
    <tableColumn id="14" xr3:uid="{630BD1EE-9186-4991-8291-BBC3290F59E6}" name="Paid Balance amount" totalsRowFunction="sum" dataDxfId="86" totalsRowDxfId="52"/>
    <tableColumn id="15" xr3:uid="{57490D24-0844-4BA9-9668-9FE5FB49BFA9}" name="Outstanding Amount" totalsRowFunction="sum" dataDxfId="85" totalsRowDxfId="51">
      <calculatedColumnFormula>IF(PurchaseList_Table[[#This Row],[Total invoice Amount]]="","",
    ROUND(PurchaseList_Table[[#This Row],[Total invoice Amount]] - PurchaseList_Table[[#This Row],[Advance Paid]] - PurchaseList_Table[[#This Row],[Paid Balance amount]], 2)
)</calculatedColumnFormula>
    </tableColumn>
    <tableColumn id="16" xr3:uid="{0E8870BC-B519-4FE7-BB51-C9101673C584}" name="Outstanding Due Date" dataDxfId="84" totalsRowDxfId="50">
      <calculatedColumnFormula>IFERROR(IF(PurchaseList_Table[[#This Row],[Outstanding Amount]]="","",
   PurchaseList_Table[[#This Row],[ETD]] + PurchaseList_Table[[#This Row],[Credit Period]]
),"")</calculatedColumnFormula>
    </tableColumn>
    <tableColumn id="17" xr3:uid="{7B6071F5-0445-4E18-A58C-A3E80400D4AA}" name="Remark" dataDxfId="83" totalsRowDxfId="49">
      <calculatedColumnFormula array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calculatedColumnFormula>
    </tableColumn>
    <tableColumn id="28" xr3:uid="{B1D9440A-B216-4BAB-8F17-2FC1DBF549DD}" name="CHA" dataDxfId="82" totalsRowDxfId="48"/>
    <tableColumn id="34" xr3:uid="{4FD0F5DA-1703-40A3-BBC8-92775524A99E}" name="SWB / Release" dataDxfId="81" totalsRowDxfId="47"/>
    <tableColumn id="33" xr3:uid="{36FC86B7-35EF-406B-B924-6B8B67DAB5BC}" name="PSIC" dataDxfId="80" totalsRowDxfId="46"/>
    <tableColumn id="30" xr3:uid="{8A7C84E1-A6E5-40B9-867A-B617E6714FAF}" name="SIMS" dataDxfId="79" totalsRowDxfId="45"/>
    <tableColumn id="29" xr3:uid="{22D1770A-E687-4C49-AAB4-40766A33D9DC}" name="DOCS SET" dataDxfId="78" totalsRowDxfId="44"/>
    <tableColumn id="35" xr3:uid="{18D3CA3F-0C9D-4C5D-BD9A-12E90E07A522}" name="+" dataDxfId="77" totalsRowDxfId="43"/>
    <tableColumn id="18" xr3:uid="{B4E260EE-BC84-4BE8-98BC-20941EA6502D}" name="ETA MONTH" dataDxfId="76" totalsRowDxfId="42">
      <calculatedColumnFormula>IF(PurchaseList_Table[[#This Row],[ETA]]="","",TEXT(PurchaseList_Table[[#This Row],[ETA]],"MMM-YYYY"))</calculatedColumnFormula>
    </tableColumn>
    <tableColumn id="19" xr3:uid="{E8896804-8F1E-437B-97BD-B57AA376F3C8}" name="CleanMaterial" dataDxfId="75" totalsRowDxfId="41">
      <calculatedColumnFormula>_xlfn.LET(_xlpm.x, TRIM(CLEAN(PurchaseList_Table[[#This Row],[Material]])), IF(_xlpm.x="", "", _xlpm.x))</calculatedColumnFormula>
    </tableColumn>
    <tableColumn id="20" xr3:uid="{358CC645-61E8-45F6-8371-EAD66344E840}" name="CleanMonth" dataDxfId="74" totalsRowDxfId="40">
      <calculatedColumnFormula>IF(PurchaseList_Table[[#This Row],[ETA MONTH]]="", "Waiting for loading", PurchaseList_Table[[#This Row],[ETA MONTH]])</calculatedColumnFormula>
    </tableColumn>
    <tableColumn id="21" xr3:uid="{9FF25701-C4EE-48A4-B6CE-1E5E1EF7107A}" name="WeightNum" dataDxfId="73" totalsRowDxfId="39">
      <calculatedColumnFormula array="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calculatedColumnFormula>
    </tableColumn>
    <tableColumn id="7" xr3:uid="{371EC3DB-D2D2-4A95-97E8-3201E80B45A1}" name="CLN No. of cnt" totalsRowFunction="sum" dataDxfId="72" totalsRowDxfId="38">
      <calculatedColumnFormula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48F8BE-D4FA-4091-ACBE-2E085C49794C}" name="ResultTable" displayName="ResultTable" ref="A1:L6" tableType="queryTable" totalsRowShown="0">
  <autoFilter ref="A1:L6" xr:uid="{4B48F8BE-D4FA-4091-ACBE-2E085C49794C}"/>
  <tableColumns count="12">
    <tableColumn id="1" xr3:uid="{03FC349A-465B-40BE-973C-CE065057D0AA}" uniqueName="1" name="BL" queryTableFieldId="15"/>
    <tableColumn id="2" xr3:uid="{1DCA4EF0-2A3D-4199-AF80-5FC21383019F}" uniqueName="2" name="Status" queryTableFieldId="16"/>
    <tableColumn id="3" xr3:uid="{B49E8348-7E45-4629-97AD-98741FF40B21}" uniqueName="3" name="POL" queryTableFieldId="17"/>
    <tableColumn id="4" xr3:uid="{8A4DB8ED-88FB-423C-8647-39AE922D3C21}" uniqueName="4" name="POD" queryTableFieldId="18"/>
    <tableColumn id="5" xr3:uid="{2891EC48-24C6-4EE0-88CA-4F50CB036378}" uniqueName="5" name="Empty Release" queryTableFieldId="19"/>
    <tableColumn id="6" xr3:uid="{4C54CBC2-3592-43E1-9B77-ED59F84D9C6D}" uniqueName="6" name="ETD" queryTableFieldId="20"/>
    <tableColumn id="7" xr3:uid="{296F1573-3F89-4CD5-91AE-2AB81AEA4F00}" uniqueName="7" name="ETA" queryTableFieldId="21"/>
    <tableColumn id="8" xr3:uid="{37E2CF08-8AEB-42F3-98E6-1E904A109691}" uniqueName="8" name="Last Events" queryTableFieldId="22"/>
    <tableColumn id="9" xr3:uid="{2A192C38-50A6-4CDD-8BD1-03E52DE7EE5F}" uniqueName="9" name="Vessel" queryTableFieldId="23"/>
    <tableColumn id="10" xr3:uid="{A9B6F1ED-2601-4AA1-9DBB-B3D61BDB426D}" uniqueName="10" name="Container Type" queryTableFieldId="24"/>
    <tableColumn id="11" xr3:uid="{AE874AE8-57F1-4773-9AAC-BD024AF41229}" uniqueName="11" name="No. of Containers" queryTableFieldId="25"/>
    <tableColumn id="12" xr3:uid="{0E124197-2E42-46E2-AA1E-3F7B8B26D0B0}" uniqueName="12" name="Containers No." queryTableFieldId="26"/>
  </tableColumns>
  <tableStyleInfo name="TableStyleMedium7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065B18-B60B-486A-88A8-C28D647B4B1C}" name="ShippingLine_Table" displayName="ShippingLine_Table" ref="A1:G7" tableType="queryTable" totalsRowShown="0">
  <autoFilter ref="A1:G7" xr:uid="{FC065B18-B60B-486A-88A8-C28D647B4B1C}"/>
  <tableColumns count="7">
    <tableColumn id="1" xr3:uid="{8A59DE40-8C1D-4B3D-A5FD-AA186D36BCAD}" uniqueName="1" name="id" queryTableFieldId="1" dataDxfId="112"/>
    <tableColumn id="2" xr3:uid="{F6C4C091-6FFE-427D-A9D0-0F1051272BEF}" uniqueName="2" name="code" queryTableFieldId="2" dataDxfId="111"/>
    <tableColumn id="3" xr3:uid="{E4D40946-3AA0-4D5D-82FE-C35C2411C359}" uniqueName="3" name="display_name" queryTableFieldId="3" dataDxfId="110"/>
    <tableColumn id="4" xr3:uid="{5A500DBE-1FE8-4C84-9D2E-B3ED3E1B03AC}" uniqueName="4" name="scraper_key" queryTableFieldId="4" dataDxfId="109"/>
    <tableColumn id="5" xr3:uid="{0FDEA853-26C7-404B-87C7-B86FC2E7DBC9}" uniqueName="5" name="url" queryTableFieldId="5" dataDxfId="108"/>
    <tableColumn id="6" xr3:uid="{D89E3684-3AA8-4E47-A869-1D452A264E75}" uniqueName="6" name="active" queryTableFieldId="6" dataDxfId="107"/>
    <tableColumn id="7" xr3:uid="{08D97D60-3B2F-4A93-937D-0DFA9BAA48F0}" uniqueName="7" name="created_at" queryTableFieldId="7" dataDxfId="106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E3E21-0246-494E-9915-A1E9D7A7B3AC}">
  <sheetPr codeName="Sheet7"/>
  <dimension ref="H9:AD44"/>
  <sheetViews>
    <sheetView zoomScaleNormal="100" workbookViewId="0">
      <selection activeCell="O29" sqref="O29"/>
    </sheetView>
  </sheetViews>
  <sheetFormatPr defaultRowHeight="15" x14ac:dyDescent="0.25"/>
  <cols>
    <col min="1" max="2" width="9.140625" style="9" customWidth="1"/>
    <col min="3" max="16384" width="9.140625" style="9"/>
  </cols>
  <sheetData>
    <row r="9" spans="8:8" x14ac:dyDescent="0.25">
      <c r="H9" s="45"/>
    </row>
    <row r="26" spans="27:30" x14ac:dyDescent="0.25">
      <c r="AA26" s="32"/>
      <c r="AB26" s="32"/>
      <c r="AC26" s="32"/>
      <c r="AD26" s="32"/>
    </row>
    <row r="27" spans="27:30" x14ac:dyDescent="0.25">
      <c r="AA27" s="32"/>
      <c r="AB27" s="32"/>
      <c r="AC27" s="32"/>
      <c r="AD27" s="32"/>
    </row>
    <row r="28" spans="27:30" x14ac:dyDescent="0.25">
      <c r="AA28" s="32"/>
      <c r="AB28" s="32"/>
      <c r="AC28" s="32"/>
      <c r="AD28" s="32"/>
    </row>
    <row r="29" spans="27:30" x14ac:dyDescent="0.25">
      <c r="AA29" s="32"/>
      <c r="AB29" s="32"/>
      <c r="AC29" s="32"/>
      <c r="AD29" s="32"/>
    </row>
    <row r="30" spans="27:30" x14ac:dyDescent="0.25">
      <c r="AA30" s="32"/>
      <c r="AB30" s="32"/>
      <c r="AC30" s="32"/>
      <c r="AD30" s="32"/>
    </row>
    <row r="31" spans="27:30" x14ac:dyDescent="0.25">
      <c r="AA31" s="32"/>
      <c r="AB31" s="32"/>
      <c r="AC31" s="32"/>
      <c r="AD31" s="32"/>
    </row>
    <row r="32" spans="27:30" x14ac:dyDescent="0.25">
      <c r="AA32" s="32"/>
      <c r="AB32" s="32"/>
      <c r="AC32" s="32"/>
      <c r="AD32" s="32"/>
    </row>
    <row r="33" spans="27:30" x14ac:dyDescent="0.25">
      <c r="AA33" s="32"/>
      <c r="AB33" s="32"/>
      <c r="AC33" s="32"/>
      <c r="AD33" s="32"/>
    </row>
    <row r="34" spans="27:30" x14ac:dyDescent="0.25">
      <c r="AA34" s="32"/>
      <c r="AB34" s="32"/>
      <c r="AC34" s="32"/>
      <c r="AD34" s="32"/>
    </row>
    <row r="35" spans="27:30" x14ac:dyDescent="0.25">
      <c r="AA35" s="32"/>
      <c r="AB35" s="32"/>
      <c r="AC35" s="32"/>
      <c r="AD35" s="32"/>
    </row>
    <row r="36" spans="27:30" x14ac:dyDescent="0.25">
      <c r="AA36" s="32"/>
      <c r="AB36" s="32"/>
      <c r="AC36" s="32"/>
      <c r="AD36" s="32"/>
    </row>
    <row r="37" spans="27:30" x14ac:dyDescent="0.25">
      <c r="AA37" s="32"/>
      <c r="AB37" s="32"/>
      <c r="AC37" s="32"/>
      <c r="AD37" s="32"/>
    </row>
    <row r="38" spans="27:30" x14ac:dyDescent="0.25">
      <c r="AA38" s="32"/>
      <c r="AB38" s="32"/>
      <c r="AC38" s="32"/>
      <c r="AD38" s="32"/>
    </row>
    <row r="39" spans="27:30" x14ac:dyDescent="0.25">
      <c r="AA39" s="32"/>
      <c r="AB39" s="32"/>
      <c r="AC39" s="32"/>
      <c r="AD39" s="32"/>
    </row>
    <row r="40" spans="27:30" x14ac:dyDescent="0.25">
      <c r="AA40" s="32"/>
      <c r="AB40" s="32"/>
      <c r="AC40" s="32"/>
      <c r="AD40" s="32"/>
    </row>
    <row r="41" spans="27:30" x14ac:dyDescent="0.25">
      <c r="AA41" s="32"/>
      <c r="AB41" s="32"/>
      <c r="AC41" s="32"/>
      <c r="AD41" s="32"/>
    </row>
    <row r="42" spans="27:30" x14ac:dyDescent="0.25">
      <c r="AA42" s="32"/>
      <c r="AB42" s="32"/>
      <c r="AC42" s="32"/>
      <c r="AD42" s="32"/>
    </row>
    <row r="43" spans="27:30" x14ac:dyDescent="0.25">
      <c r="AA43" s="32"/>
      <c r="AB43" s="32"/>
      <c r="AC43" s="32"/>
      <c r="AD43" s="32"/>
    </row>
    <row r="44" spans="27:30" x14ac:dyDescent="0.25">
      <c r="AA44" s="32"/>
      <c r="AB44" s="32"/>
      <c r="AC44" s="32"/>
      <c r="AD44" s="32"/>
    </row>
  </sheetData>
  <sheetProtection sheet="1" objects="1" scenarios="1" selectLockedCells="1" selectUnlockedCells="1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DB5-F66C-40B0-A154-5E3A873F6F3A}">
  <sheetPr codeName="Sheet6"/>
  <dimension ref="A1:P100"/>
  <sheetViews>
    <sheetView topLeftCell="A25" zoomScaleNormal="100" workbookViewId="0">
      <selection activeCell="B74" sqref="B74"/>
    </sheetView>
  </sheetViews>
  <sheetFormatPr defaultRowHeight="15" x14ac:dyDescent="0.25"/>
  <cols>
    <col min="1" max="1" width="34.85546875" bestFit="1" customWidth="1"/>
    <col min="2" max="2" width="25.85546875" bestFit="1" customWidth="1"/>
    <col min="3" max="3" width="29.5703125" bestFit="1" customWidth="1"/>
    <col min="4" max="4" width="21.42578125" bestFit="1" customWidth="1"/>
    <col min="5" max="5" width="25.140625" bestFit="1" customWidth="1"/>
    <col min="6" max="6" width="10.5703125" customWidth="1"/>
    <col min="7" max="7" width="24" style="8" customWidth="1"/>
    <col min="8" max="8" width="12.85546875" style="7" customWidth="1"/>
    <col min="9" max="9" width="13.140625" style="7" bestFit="1" customWidth="1"/>
    <col min="10" max="10" width="13.28515625" customWidth="1"/>
    <col min="11" max="11" width="52.140625" style="6" customWidth="1"/>
    <col min="12" max="12" width="13.7109375" customWidth="1"/>
    <col min="13" max="13" width="13.140625" customWidth="1"/>
    <col min="14" max="14" width="89.85546875" bestFit="1" customWidth="1"/>
    <col min="15" max="15" width="11" customWidth="1"/>
  </cols>
  <sheetData>
    <row r="1" spans="1:14" ht="16.5" customHeight="1" x14ac:dyDescent="0.25">
      <c r="A1" s="78" t="s">
        <v>32</v>
      </c>
      <c r="B1" s="74" t="s">
        <v>55</v>
      </c>
      <c r="C1" s="74" t="s">
        <v>53</v>
      </c>
      <c r="D1" s="74" t="s">
        <v>54</v>
      </c>
      <c r="E1" s="75" t="s">
        <v>8</v>
      </c>
      <c r="G1" s="73" t="s">
        <v>47</v>
      </c>
      <c r="H1" s="73"/>
      <c r="I1" s="73"/>
      <c r="K1" s="37">
        <f ca="1">TODAY()</f>
        <v>46021</v>
      </c>
    </row>
    <row r="2" spans="1:14" ht="16.5" customHeight="1" x14ac:dyDescent="0.25">
      <c r="A2" s="78"/>
      <c r="B2" s="74"/>
      <c r="C2" s="74"/>
      <c r="D2" s="74"/>
      <c r="E2" s="75"/>
      <c r="F2" s="4"/>
      <c r="G2" s="73"/>
      <c r="H2" s="73"/>
      <c r="I2" s="73"/>
    </row>
    <row r="3" spans="1:14" ht="16.5" customHeight="1" x14ac:dyDescent="1">
      <c r="A3" s="78"/>
      <c r="B3" s="80" cm="1">
        <f t="array" aca="1" ref="B3" ca="1">IFERROR(
    SUM(
        _xlfn._xlws.FILTER(
            PurchaseList_Table[CLN No. of cnt],
            ISNUMBER(
                MATCH(
                    PurchaseList_Table[Remark],
                    {"Loaded, Waiting for Invoice","Done","OverPaid","Due Today","OverDue","Yet to Pay"},
                    0
                )
            )
        )
    ),
0)</f>
        <v>0</v>
      </c>
      <c r="C3" s="80" cm="1">
        <f t="array" aca="1" ref="C3" ca="1">IFERROR(
    SUM(
        _xlfn._xlws.FILTER(
            PurchaseList_Table[CLN No. of cnt],
            ISNUMBER(
                MATCH(
                    PurchaseList_Table[Remark],
                    {"Advance Paid, Expecting Loading.","OverPaid, Waiting for BL","Invoice Received, Waiting for BL","Total Invoice Clear, Waiting for BL"},
                    0
                )
            )
        )
    ),
0)</f>
        <v>4</v>
      </c>
      <c r="D3" s="80" cm="1">
        <f t="array" aca="1" ref="D3" ca="1">IFERROR(
    SUM(
        _xlfn._xlws.FILTER(PurchaseList_Table[CLN No. of cnt],
            ISNUMBER(
                MATCH(
                    PurchaseList_Table[Remark],
                    {"Contract Signed"},
                    0
                )
            )
        )
    ),
0)</f>
        <v>0</v>
      </c>
      <c r="E3" s="81">
        <f ca="1">$C$3+$B$3+$D$3</f>
        <v>4</v>
      </c>
      <c r="F3" s="5"/>
      <c r="G3" s="17" t="s">
        <v>38</v>
      </c>
      <c r="H3" s="18" t="s">
        <v>7</v>
      </c>
      <c r="I3" s="18" t="s">
        <v>32</v>
      </c>
    </row>
    <row r="4" spans="1:14" ht="16.5" customHeight="1" x14ac:dyDescent="0.25">
      <c r="A4" s="78"/>
      <c r="B4" s="80"/>
      <c r="C4" s="80"/>
      <c r="D4" s="80"/>
      <c r="E4" s="81"/>
      <c r="F4" s="2"/>
      <c r="G4" s="19" t="str" cm="1">
        <f t="array" ref="G4:I15">_xlfn.LET(
  _xlpm.MatCol, PurchaseList_Table[Material],
  _xlpm.WtCol,  PurchaseList_Table[Weight],
  _xlpm.CnCol,PurchaseList_Table[CLN No. of cnt],
  _xlpm.Mats,   _xlfn.UNIQUE(_xlfn._xlws.FILTER(  _xlpm.MatCol, _xlpm.MatCol&lt;&gt;"")),
  _xlpm.Weights, _xlfn.MAP(_xlpm.Mats, _xlfn.LAMBDA(_xlpm.m, TEXT(SUMIFS(_xlpm.WtCol, _xlpm.MatCol, _xlpm.m),"0.00") &amp; " MT")),
  _xlpm.Cntrs,  _xlfn.MAP(_xlpm.Mats, _xlfn.LAMBDA(_xlpm.m, SUMIFS(_xlpm.CnCol, _xlpm.MatCol, _xlpm.m))),
  _xlfn.HSTACK(_xlpm.Mats, _xlpm.Weights, _xlpm.Cntrs)
)</f>
        <v>REGULAR</v>
      </c>
      <c r="H4" s="20" t="str">
        <v>131.07 MT</v>
      </c>
      <c r="I4" s="29">
        <v>0</v>
      </c>
    </row>
    <row r="5" spans="1:14" ht="16.5" customHeight="1" x14ac:dyDescent="0.3">
      <c r="A5" s="78"/>
      <c r="B5" s="80"/>
      <c r="C5" s="80"/>
      <c r="D5" s="80"/>
      <c r="E5" s="81"/>
      <c r="F5" s="2"/>
      <c r="G5" s="21" t="str">
        <v>JUMBO</v>
      </c>
      <c r="H5" s="22" t="str">
        <v>78.94 MT</v>
      </c>
      <c r="I5" s="30">
        <v>0</v>
      </c>
    </row>
    <row r="6" spans="1:14" ht="16.5" customHeight="1" x14ac:dyDescent="0.3">
      <c r="A6" s="78"/>
      <c r="B6" s="80"/>
      <c r="C6" s="80"/>
      <c r="D6" s="80"/>
      <c r="E6" s="81"/>
      <c r="F6" s="2"/>
      <c r="G6" s="21" t="str">
        <v>23 Dry</v>
      </c>
      <c r="H6" s="22" t="str">
        <v>68.64 MT</v>
      </c>
      <c r="I6" s="30">
        <v>1</v>
      </c>
    </row>
    <row r="7" spans="1:14" ht="16.5" customHeight="1" x14ac:dyDescent="0.3">
      <c r="A7" s="78"/>
      <c r="B7" s="80"/>
      <c r="C7" s="80"/>
      <c r="D7" s="80"/>
      <c r="E7" s="81"/>
      <c r="F7" s="2"/>
      <c r="G7" s="21" t="str">
        <v>30 jumbo</v>
      </c>
      <c r="H7" s="22" t="str">
        <v>269.47 MT</v>
      </c>
      <c r="I7" s="30">
        <v>2</v>
      </c>
    </row>
    <row r="8" spans="1:14" ht="16.5" customHeight="1" x14ac:dyDescent="0.3">
      <c r="A8" s="78"/>
      <c r="B8" s="12" cm="1">
        <f t="array" aca="1" ref="B8" ca="1">IFERROR(
    SUM(
        _xlfn._xlws.FILTER(
            PurchaseList_Table[Weight],
            ISNUMBER(
                MATCH(
                    PurchaseList_Table[Remark],
                    {"Loaded, Waiting for Invoice","Done","OverPaid","Due Today","OverDue","Yet to Pay"},
                    0
                )
            )
        )
    ),
0)</f>
        <v>0</v>
      </c>
      <c r="C8" s="12" cm="1">
        <f t="array" aca="1" ref="C8" ca="1">IFERROR(SUM(_xlfn._xlws.FILTER(PurchaseList_Table[Weight],
    ISNUMBER(MATCH(PurchaseList_Table[Remark],
        {"Advance Paid, Expecting Loading.","OverPaid, Waiting for BL","Invoice Received, Waiting for BL","Total Invoice Clear, Waiting for BL"},
        0
    ))
)),0)</f>
        <v>482.10000000000008</v>
      </c>
      <c r="D8" s="12" cm="1">
        <f t="array" aca="1" ref="D8" ca="1">IFERROR(
    SUM(
        _xlfn._xlws.FILTER(
            PurchaseList_Table[Weight],
            ISNUMBER(
                MATCH(
                    PurchaseList_Table[Remark],
                    {"Contract Signed"},
                    0
                )
            )
        )
    ),
0)</f>
        <v>297.76599999999996</v>
      </c>
      <c r="E8" s="13">
        <f ca="1">$B$8+$C$8+$D$8</f>
        <v>779.86599999999999</v>
      </c>
      <c r="F8" s="2"/>
      <c r="G8" s="21" t="str">
        <v>JUMBO + REGULAR</v>
      </c>
      <c r="H8" s="22" t="str">
        <v>26.95 MT</v>
      </c>
      <c r="I8" s="30">
        <v>1</v>
      </c>
    </row>
    <row r="9" spans="1:14" ht="16.5" customHeight="1" x14ac:dyDescent="0.3">
      <c r="A9" s="78"/>
      <c r="B9" s="13"/>
      <c r="C9" s="13"/>
      <c r="D9" s="13"/>
      <c r="E9" s="13"/>
      <c r="F9" s="2"/>
      <c r="G9" s="21" t="str">
        <v>OFFCUT + 30</v>
      </c>
      <c r="H9" s="22" t="str">
        <v>22.72 MT</v>
      </c>
      <c r="I9" s="30">
        <v>0</v>
      </c>
    </row>
    <row r="10" spans="1:14" s="3" customFormat="1" ht="16.5" customHeight="1" x14ac:dyDescent="0.3">
      <c r="A10" s="14"/>
      <c r="B10" s="14"/>
      <c r="C10" s="14"/>
      <c r="D10" s="14"/>
      <c r="E10" s="14"/>
      <c r="G10" s="21" t="str">
        <v>OFFCUT</v>
      </c>
      <c r="H10" s="22" t="str">
        <v>21.60 MT</v>
      </c>
      <c r="I10" s="30">
        <v>0</v>
      </c>
      <c r="J10"/>
      <c r="K10" s="6"/>
      <c r="L10"/>
      <c r="M10"/>
      <c r="N10"/>
    </row>
    <row r="11" spans="1:14" s="3" customFormat="1" ht="16.5" customHeight="1" x14ac:dyDescent="0.3">
      <c r="A11" s="79" t="s">
        <v>35</v>
      </c>
      <c r="B11" s="74" t="s">
        <v>4</v>
      </c>
      <c r="C11" s="74" t="s">
        <v>58</v>
      </c>
      <c r="D11" s="74" t="s">
        <v>33</v>
      </c>
      <c r="E11" s="75" t="s">
        <v>8</v>
      </c>
      <c r="G11" s="21" t="str">
        <v>30 JUMBO + OFFCUTS</v>
      </c>
      <c r="H11" s="22" t="str">
        <v>22.72 MT</v>
      </c>
      <c r="I11" s="30">
        <v>0</v>
      </c>
      <c r="J11"/>
      <c r="K11" s="6"/>
      <c r="L11"/>
      <c r="M11"/>
      <c r="N11"/>
    </row>
    <row r="12" spans="1:14" ht="16.5" customHeight="1" x14ac:dyDescent="0.3">
      <c r="A12" s="79"/>
      <c r="B12" s="74"/>
      <c r="C12" s="74"/>
      <c r="D12" s="74"/>
      <c r="E12" s="75"/>
      <c r="G12" s="21" t="str">
        <v>JUMBO 23 + 27</v>
      </c>
      <c r="H12" s="22" t="str">
        <v>30.00 MT</v>
      </c>
      <c r="I12" s="30">
        <v>0</v>
      </c>
    </row>
    <row r="13" spans="1:14" ht="16.5" customHeight="1" x14ac:dyDescent="0.3">
      <c r="A13" s="79"/>
      <c r="B13" s="76" cm="1">
        <f t="array" aca="1" ref="B13" ca="1">IFERROR(
    SUM(
        _xlfn._xlws.FILTER(
            PurchaseList_Table[Advance Paid],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3" s="76" cm="1">
        <f t="array" aca="1" ref="C13" ca="1">IFERROR(
    SUM(
        _xlfn._xlws.FILTER(
            PurchaseList_Table[Advance Paid] + PurchaseList_Table[Paid Balance amount],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312136.17</v>
      </c>
      <c r="D13" s="76" cm="1">
        <f t="array" aca="1" ref="D13" ca="1">IFERROR(
    SUM(
        _xlfn._xlws.FILTER(
            PurchaseList_Table[Outstanding Amount],
            ISNUMBER(
                MATCH(
                    PurchaseList_Table[Remark],
                    {"OverPaid","OverPaid, Waiting for BL"},
                    0
                )
            )
        )
    ),
0)</f>
        <v>0</v>
      </c>
      <c r="E13" s="77">
        <f ca="1">$C$13+$B$13</f>
        <v>312136.17</v>
      </c>
      <c r="G13" s="21" t="str">
        <v>23/27/30 PRIME + OFFCUTS</v>
      </c>
      <c r="H13" s="22" t="str">
        <v>23.77 MT</v>
      </c>
      <c r="I13" s="30">
        <v>0</v>
      </c>
    </row>
    <row r="14" spans="1:14" ht="16.5" customHeight="1" x14ac:dyDescent="0.3">
      <c r="A14" s="79"/>
      <c r="B14" s="76"/>
      <c r="C14" s="76"/>
      <c r="D14" s="76"/>
      <c r="E14" s="77"/>
      <c r="G14" s="21" t="str">
        <v>30 jumbo gapping</v>
      </c>
      <c r="H14" s="22" t="str">
        <v>50.00 MT</v>
      </c>
      <c r="I14" s="30">
        <v>0</v>
      </c>
    </row>
    <row r="15" spans="1:14" ht="16.5" customHeight="1" x14ac:dyDescent="0.3">
      <c r="A15" s="79"/>
      <c r="B15" s="76"/>
      <c r="C15" s="76"/>
      <c r="D15" s="76"/>
      <c r="E15" s="77"/>
      <c r="G15" s="21" t="str">
        <v>offcuts</v>
      </c>
      <c r="H15" s="22" t="str">
        <v>34.00 MT</v>
      </c>
      <c r="I15" s="30">
        <v>0</v>
      </c>
    </row>
    <row r="16" spans="1:14" ht="16.5" customHeight="1" x14ac:dyDescent="0.3">
      <c r="A16" s="79"/>
      <c r="B16" s="76"/>
      <c r="C16" s="76"/>
      <c r="D16" s="76"/>
      <c r="E16" s="77"/>
      <c r="G16" s="21"/>
      <c r="H16" s="22"/>
      <c r="I16" s="30"/>
    </row>
    <row r="17" spans="1:16" ht="16.5" customHeight="1" x14ac:dyDescent="0.3">
      <c r="A17" s="79"/>
      <c r="B17" s="76"/>
      <c r="C17" s="76"/>
      <c r="D17" s="76"/>
      <c r="E17" s="77"/>
      <c r="G17" s="21"/>
      <c r="H17" s="22"/>
      <c r="I17" s="30"/>
    </row>
    <row r="18" spans="1:16" ht="16.5" customHeight="1" x14ac:dyDescent="0.3">
      <c r="A18" s="79"/>
      <c r="B18" s="15" cm="1">
        <f t="array" aca="1" ref="B18" ca="1">IFERROR(
    SUM(
        _xlfn._xlws.FILTER(
          PurchaseList_Table[CLN No. of cnt],
            ISNUMBER(
                MATCH(
                    PurchaseList_Table[Remark],
                    {"Advance Paid, Expecting Loading.","Loaded, Waiting for Invoice","Due Today","Yet to Pay","OverDue"},
                    0
                )
            )
        )
    ),
0)</f>
        <v>0</v>
      </c>
      <c r="C18" s="15" cm="1">
        <f t="array" aca="1" ref="C18" ca="1">IFERROR(
    SUM(
        _xlfn._xlws.FILTER(PurchaseList_Table[CLN No. of cnt],
            ISNUMBER(
                MATCH(
                    PurchaseList_Table[Remark],
                    {"Total Invoice Clear, Waiting for BL","Done","OverPaid","OverPaid, Waiting for BL"},
                    0
                )
            )
        )
    ),
0)</f>
        <v>4</v>
      </c>
      <c r="D18" s="15" cm="1">
        <f t="array" aca="1" ref="D18" ca="1">IFERROR(
    SUM(
        _xlfn._xlws.FILTER(PurchaseList_Table[CLN No. of cnt],
            ISNUMBER(
                MATCH(
                    PurchaseList_Table[Remark],
                    {"OverPaid","OverPaid, Waiting for BL"},
                    0
                )
            )
        )
    ),
0)</f>
        <v>0</v>
      </c>
      <c r="E18" s="16">
        <f ca="1">$C$18+$B$18</f>
        <v>4</v>
      </c>
      <c r="G18" s="21"/>
      <c r="H18" s="22"/>
      <c r="I18" s="30"/>
    </row>
    <row r="19" spans="1:16" ht="16.5" customHeight="1" x14ac:dyDescent="0.3">
      <c r="A19" s="79"/>
      <c r="B19" s="14"/>
      <c r="C19" s="14"/>
      <c r="D19" s="14"/>
      <c r="E19" s="14"/>
      <c r="G19" s="21"/>
      <c r="H19" s="22"/>
      <c r="I19" s="30"/>
    </row>
    <row r="20" spans="1:16" ht="16.5" customHeight="1" x14ac:dyDescent="0.3">
      <c r="A20" s="14"/>
      <c r="B20" s="14"/>
      <c r="C20" s="14"/>
      <c r="D20" s="14"/>
      <c r="E20" s="14"/>
      <c r="F20" s="3"/>
      <c r="G20" s="21"/>
      <c r="H20" s="22"/>
      <c r="I20" s="30"/>
      <c r="J20" s="3"/>
      <c r="K20" s="10"/>
      <c r="L20" s="3"/>
      <c r="M20" s="3"/>
      <c r="N20" s="3"/>
      <c r="O20" s="3"/>
      <c r="P20" s="3"/>
    </row>
    <row r="21" spans="1:16" ht="16.5" customHeight="1" x14ac:dyDescent="0.3">
      <c r="A21" s="79" t="s">
        <v>36</v>
      </c>
      <c r="B21" s="74" t="s">
        <v>56</v>
      </c>
      <c r="C21" s="74" t="s">
        <v>57</v>
      </c>
      <c r="D21" s="74" t="s">
        <v>34</v>
      </c>
      <c r="E21" s="75" t="s">
        <v>8</v>
      </c>
      <c r="G21" s="21"/>
      <c r="H21" s="22"/>
      <c r="I21" s="30"/>
    </row>
    <row r="22" spans="1:16" ht="16.5" customHeight="1" x14ac:dyDescent="0.25">
      <c r="A22" s="79"/>
      <c r="B22" s="74"/>
      <c r="C22" s="74"/>
      <c r="D22" s="74"/>
      <c r="E22" s="75"/>
    </row>
    <row r="23" spans="1:16" ht="16.5" customHeight="1" x14ac:dyDescent="0.25">
      <c r="A23" s="79"/>
      <c r="B23" s="76" cm="1">
        <f t="array" aca="1" ref="B23" ca="1">IFERROR(
    SUM(
        _xlfn._xlws.FILTER(
            PurchaseList_Table[Outstanding Amount],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3" s="76" cm="1">
        <f t="array" aca="1" ref="C23" ca="1">IFERROR(
    SUM(
        _xlfn._xlws.FILTER(
            PurchaseList_Table[Outstanding Amount],
            ISNUMBER(
                MATCH(
                    PurchaseList_Table[Remark],
                    {"OverDue"},
                    0
                )
            )
        )
    ),
0)</f>
        <v>0</v>
      </c>
      <c r="D23" s="76" cm="1">
        <f t="array" aca="1" ref="D23" ca="1">IFERROR(
    SUM(
        _xlfn._xlws.FILTER(
            PurchaseList_Table[Outstanding Amount],
            ISNUMBER(
                MATCH(
                    PurchaseList_Table[Remark],
                    {"Due Today"},
                    0
                )
            )
        )
    ),
0)</f>
        <v>0</v>
      </c>
      <c r="E23" s="77">
        <f ca="1">$B$23+$C$23+$D$23</f>
        <v>0</v>
      </c>
    </row>
    <row r="24" spans="1:16" ht="16.5" customHeight="1" x14ac:dyDescent="0.25">
      <c r="A24" s="79"/>
      <c r="B24" s="76"/>
      <c r="C24" s="76"/>
      <c r="D24" s="76"/>
      <c r="E24" s="77"/>
    </row>
    <row r="25" spans="1:16" ht="16.5" customHeight="1" x14ac:dyDescent="0.25">
      <c r="A25" s="79"/>
      <c r="B25" s="76"/>
      <c r="C25" s="76"/>
      <c r="D25" s="76"/>
      <c r="E25" s="77"/>
    </row>
    <row r="26" spans="1:16" ht="16.5" customHeight="1" x14ac:dyDescent="0.25">
      <c r="A26" s="79"/>
      <c r="B26" s="76"/>
      <c r="C26" s="76"/>
      <c r="D26" s="76"/>
      <c r="E26" s="77"/>
      <c r="I26" s="11"/>
    </row>
    <row r="27" spans="1:16" ht="16.5" customHeight="1" x14ac:dyDescent="0.25">
      <c r="A27" s="79"/>
      <c r="B27" s="76"/>
      <c r="C27" s="76"/>
      <c r="D27" s="76"/>
      <c r="E27" s="77"/>
    </row>
    <row r="28" spans="1:16" ht="16.5" customHeight="1" x14ac:dyDescent="0.25">
      <c r="A28" s="79"/>
      <c r="B28" s="15" cm="1">
        <f t="array" aca="1" ref="B28" ca="1">IFERROR(
    SUM(
        _xlfn._xlws.FILTER(PurchaseList_Table[CLN No. of cnt],
            ISNUMBER(
                MATCH(
                    PurchaseList_Table[Remark],
                    {"Invoice Received, Waiting for BL","Yet to Pay"},
                    0
                )
            )
        )
    ),
0)</f>
        <v>0</v>
      </c>
      <c r="C28" s="15" cm="1">
        <f t="array" aca="1" ref="C28" ca="1">IFERROR(
    SUM(
        _xlfn._xlws.FILTER(PurchaseList_Table[CLN No. of cnt],
            ISNUMBER(
                MATCH(
                    PurchaseList_Table[Remark],
                    {"OverDue"},
                    0
                )
            )
        )
    ),
0)</f>
        <v>0</v>
      </c>
      <c r="D28" s="15" cm="1">
        <f t="array" aca="1" ref="D28" ca="1">IFERROR(
    SUM(
        _xlfn._xlws.FILTER(PurchaseList_Table[CLN No. of cnt],
            ISNUMBER(
                MATCH(
                    PurchaseList_Table[Remark],
                    {"Due Today"},
                    0
                )
            )
        )
    ),
0)</f>
        <v>0</v>
      </c>
      <c r="E28" s="16">
        <f ca="1">$B$28+$C$28+$D$28</f>
        <v>0</v>
      </c>
    </row>
    <row r="29" spans="1:16" ht="16.5" customHeight="1" x14ac:dyDescent="0.25">
      <c r="A29" s="79"/>
      <c r="B29" s="14"/>
      <c r="C29" s="14"/>
      <c r="D29" s="14"/>
      <c r="E29" s="14"/>
    </row>
    <row r="35" spans="1:5" ht="18.75" customHeight="1" x14ac:dyDescent="0.3">
      <c r="A35" s="71" t="s">
        <v>49</v>
      </c>
      <c r="B35" s="71"/>
      <c r="C35" s="71"/>
      <c r="D35" s="71"/>
      <c r="E35" s="71"/>
    </row>
    <row r="36" spans="1:5" ht="15" customHeight="1" x14ac:dyDescent="0.25">
      <c r="A36" s="23" t="str" cm="1">
        <f t="array" ref="A36:C48">_xlfn.LET(
    _xlpm.MatAll, PurchaseList_Table[CleanMaterial],
    _xlpm.MonAll, PurchaseList_Table[CleanMonth],
    _xlpm.CnAll, PurchaseList_Table[CLN No. of cnt],
    _xlpm.WtAll, PurchaseList_Table[WeightNum],
    _xlpm.valid, (_xlpm.MatAll&lt;&gt;"") * (_xlpm.MonAll&lt;&gt;""),
    _xlpm.Mat, _xlfn._xlws.FILTER(_xlpm.MatAll, _xlpm.valid),
    _xlpm.MonRaw, _xlfn._xlws.FILTER(_xlpm.MonAll, _xlpm.valid),
    _xlpm.Mon, IF(_xlpm.MonRaw="", "Waiting for loading", _xlpm.MonRaw),
    _xlpm.Cn, N(_xlfn._xlws.FILTER(_xlpm.CnAll, _xlpm.valid)),
    _xlpm.Wt, N(_xlfn._xlws.FILTER(_xlpm.WtAll, _xlpm.valid)),
    _xlpm.MatList, _xlfn.UNIQUE(_xlpm.Mat),
    _xlpm.MonthList, TRANSPOSE(_xlfn._xlws.SORT(_xlfn.UNIQUE(_xlpm.Mon))),
    _xlpm.CnMatrix,
        MMULT(
            --(_xlpm.MatList = TRANSPOSE(_xlpm.Mat)),
            _xlpm.Cn * --(_xlpm.MonthList = _xlpm.Mon)
        ),
    _xlpm.WtMatrix,
        MMULT(
            --(_xlpm.MatList = TRANSPOSE(_xlpm.Mat)),
            _xlpm.Wt * --(_xlpm.MonthList = _xlpm.Mon)
        ),
    _xlpm.Combined,
        IF(
            _xlpm.CnMatrix=0,
            "",
            _xlpm.CnMatrix &amp; " Cntr | " &amp; TEXT(_xlpm.WtMatrix, "0.00") &amp; " MT"
        ),
    _xlfn.VSTACK(
        _xlfn.HSTACK("Material", _xlpm.MonthList),
        _xlfn.HSTACK(_xlpm.MatList, _xlpm.Combined)
    )
)</f>
        <v>Material</v>
      </c>
      <c r="B36" s="23" t="str">
        <v>Jan-2026</v>
      </c>
      <c r="C36" s="23" t="str">
        <v>Waiting for loading</v>
      </c>
      <c r="D36" s="23"/>
      <c r="E36" s="23"/>
    </row>
    <row r="37" spans="1:5" ht="15" customHeight="1" x14ac:dyDescent="0.25">
      <c r="A37" s="24" t="str">
        <v>REGULAR</v>
      </c>
      <c r="B37" s="24" t="str">
        <v/>
      </c>
      <c r="C37" s="24" t="str">
        <v/>
      </c>
      <c r="D37" s="24"/>
      <c r="E37" s="24"/>
    </row>
    <row r="38" spans="1:5" ht="15" customHeight="1" x14ac:dyDescent="0.25">
      <c r="A38" s="24" t="str">
        <v>JUMBO</v>
      </c>
      <c r="B38" s="24" t="str">
        <v/>
      </c>
      <c r="C38" s="24" t="str">
        <v/>
      </c>
      <c r="D38" s="24"/>
      <c r="E38" s="24"/>
    </row>
    <row r="39" spans="1:5" ht="15" customHeight="1" x14ac:dyDescent="0.25">
      <c r="A39" s="24" t="str">
        <v>23 Dry</v>
      </c>
      <c r="B39" s="24" t="str">
        <v>1 Cntr | 22.74 MT</v>
      </c>
      <c r="C39" s="24" t="str">
        <v/>
      </c>
      <c r="D39" s="24"/>
      <c r="E39" s="24"/>
    </row>
    <row r="40" spans="1:5" ht="15" customHeight="1" x14ac:dyDescent="0.25">
      <c r="A40" s="24" t="str">
        <v>30 jumbo</v>
      </c>
      <c r="B40" s="24" t="str">
        <v>2 Cntr | 43.70 MT</v>
      </c>
      <c r="C40" s="24" t="str">
        <v/>
      </c>
      <c r="D40" s="24"/>
      <c r="E40" s="24"/>
    </row>
    <row r="41" spans="1:5" ht="15" customHeight="1" x14ac:dyDescent="0.25">
      <c r="A41" s="24" t="str">
        <v>JUMBO + REGULAR</v>
      </c>
      <c r="B41" s="24" t="str">
        <v>1 Cntr | 26.95 MT</v>
      </c>
      <c r="C41" s="24" t="str">
        <v/>
      </c>
      <c r="D41" s="24"/>
      <c r="E41" s="24"/>
    </row>
    <row r="42" spans="1:5" ht="15" customHeight="1" x14ac:dyDescent="0.25">
      <c r="A42" s="24" t="str">
        <v>OFFCUT + 30</v>
      </c>
      <c r="B42" s="24" t="str">
        <v/>
      </c>
      <c r="C42" s="24" t="str">
        <v/>
      </c>
      <c r="D42" s="24"/>
      <c r="E42" s="24"/>
    </row>
    <row r="43" spans="1:5" x14ac:dyDescent="0.25">
      <c r="A43" s="24" t="str">
        <v>OFFCUT</v>
      </c>
      <c r="B43" s="24" t="str">
        <v/>
      </c>
      <c r="C43" s="24" t="str">
        <v/>
      </c>
      <c r="D43" s="24"/>
      <c r="E43" s="24"/>
    </row>
    <row r="44" spans="1:5" x14ac:dyDescent="0.25">
      <c r="A44" s="24" t="str">
        <v>30 JUMBO + OFFCUTS</v>
      </c>
      <c r="B44" s="24" t="str">
        <v/>
      </c>
      <c r="C44" s="24" t="str">
        <v/>
      </c>
      <c r="D44" s="24"/>
      <c r="E44" s="24"/>
    </row>
    <row r="45" spans="1:5" x14ac:dyDescent="0.25">
      <c r="A45" s="24" t="str">
        <v>JUMBO 23 + 27</v>
      </c>
      <c r="B45" s="24" t="str">
        <v/>
      </c>
      <c r="C45" s="24" t="str">
        <v/>
      </c>
      <c r="D45" s="24"/>
      <c r="E45" s="24"/>
    </row>
    <row r="46" spans="1:5" x14ac:dyDescent="0.25">
      <c r="A46" s="24" t="str">
        <v>23/27/30 PRIME + OFFCUTS</v>
      </c>
      <c r="B46" s="24" t="str">
        <v/>
      </c>
      <c r="C46" s="24" t="str">
        <v/>
      </c>
      <c r="D46" s="24"/>
      <c r="E46" s="24"/>
    </row>
    <row r="47" spans="1:5" x14ac:dyDescent="0.25">
      <c r="A47" s="24" t="str">
        <v>30 jumbo gapping</v>
      </c>
      <c r="B47" s="24" t="str">
        <v/>
      </c>
      <c r="C47" s="24" t="str">
        <v/>
      </c>
      <c r="D47" s="24"/>
      <c r="E47" s="24"/>
    </row>
    <row r="48" spans="1:5" x14ac:dyDescent="0.25">
      <c r="A48" s="24" t="str">
        <v>offcuts</v>
      </c>
      <c r="B48" s="24" t="str">
        <v/>
      </c>
      <c r="C48" s="24" t="str">
        <v/>
      </c>
      <c r="D48" s="24"/>
      <c r="E48" s="24"/>
    </row>
    <row r="49" spans="1:11" x14ac:dyDescent="0.25">
      <c r="A49" s="24"/>
      <c r="B49" s="24"/>
      <c r="C49" s="24"/>
      <c r="D49" s="24"/>
      <c r="E49" s="24"/>
    </row>
    <row r="50" spans="1:11" x14ac:dyDescent="0.25">
      <c r="A50" s="24"/>
      <c r="B50" s="24"/>
      <c r="C50" s="24"/>
      <c r="D50" s="24"/>
      <c r="E50" s="24"/>
    </row>
    <row r="51" spans="1:11" ht="18.75" x14ac:dyDescent="0.3">
      <c r="H51" s="72" t="s">
        <v>48</v>
      </c>
      <c r="I51" s="72"/>
      <c r="J51" s="72"/>
      <c r="K51" s="72"/>
    </row>
    <row r="52" spans="1:11" ht="30" x14ac:dyDescent="0.25">
      <c r="H52" s="25" t="s">
        <v>39</v>
      </c>
      <c r="I52" s="25" t="s">
        <v>40</v>
      </c>
      <c r="J52" s="25" t="s">
        <v>7</v>
      </c>
      <c r="K52" s="25" t="s">
        <v>41</v>
      </c>
    </row>
    <row r="53" spans="1:11" ht="60" x14ac:dyDescent="0.25">
      <c r="H53" s="26" t="str" cm="1">
        <f t="array" ref="H53">_xlfn.UNIQUE(_xlfn._xlws.FILTER(PurchaseList_Table[ETA MONTH], PurchaseList_Table[ETA MONTH]&lt;&gt;"" ))</f>
        <v>Jan-2026</v>
      </c>
      <c r="I53" s="26" cm="1">
        <f t="array" ref="I53">_xlfn.MAP(_xlfn.ANCHORARRAY(
   H53),
   _xlfn.LAMBDA(_xlpm.m, SUMIFS(PurchaseList_Table[No. of Containers], PurchaseList_Table[ETA MONTH], _xlpm.m))
)</f>
        <v>0</v>
      </c>
      <c r="J53" s="27" t="str" cm="1">
        <f t="array" ref="J53">_xlfn.MAP(_xlfn.ANCHORARRAY(
   H53),
   _xlfn.LAMBDA(_xlpm.m, TEXT(SUMIFS(PurchaseList_Table[Weight], PurchaseList_Table[ETA MONTH], _xlpm.m),"0.00") &amp; " MT")
)</f>
        <v>93.39 MT</v>
      </c>
      <c r="K53" s="26" t="str" cm="1">
        <f t="array" ref="K53">_xlfn.MAP(_xlfn.ANCHORARRAY(
  H53),
  _xlfn.LAMBDA(_xlpm.m,
    _xlfn.LET(
      _xlpm.mask, PurchaseList_Table[ETA MONTH]=_xlpm.m,
      _xlpm.mats, _xlfn._xlws.FILTER(PurchaseList_Table[Material], _xlpm.mask),
      _xlpm.sups, _xlfn._xlws.FILTER(PurchaseList_Table[Supplier Code], _xlpm.mask),
      _xlpm.cts,  _xlfn._xlws.FILTER(PurchaseList_Table[CLN No. of cnt], _xlpm.mask),
      _xlpm.wts,  _xlfn._xlws.FILTER(PurchaseList_Table[Weight], _xlpm.mask),
      _xlfn.TEXTJOIN(
        CHAR(10),
        TRUE,
        _xlfn.MAP(_xlpm.mats, _xlpm.sups, _xlpm.cts, _xlpm.wts,
          _xlfn.LAMBDA(_xlpm.mat,_xlpm.sup,_xlpm.ct,_xlpm.wt,
            _xlpm.mat &amp; " - " &amp; _xlpm.sup &amp; " - " &amp; _xlpm.ct &amp; " ctrs - " &amp; _xlpm.wt &amp; " MT"
          )
        )
      )
    )
  )
)</f>
        <v>23 Dry - JNKOREA - 1 ctrs - 22.74 MT
30 jumbo - JNKOREA - 1 ctrs - 23.6 MT
30 jumbo - JNKOREA - 1 ctrs - 20.1 MT
JUMBO + REGULAR - SWEDN - 1 ctrs - 26.95 MT</v>
      </c>
    </row>
    <row r="54" spans="1:11" ht="409.5" x14ac:dyDescent="0.25">
      <c r="H54" s="26"/>
      <c r="I54" s="26"/>
      <c r="J54" s="31"/>
      <c r="K54" s="26"/>
    </row>
    <row r="55" spans="1:11" ht="75" x14ac:dyDescent="0.25">
      <c r="H55" s="26"/>
      <c r="I55" s="26"/>
      <c r="J55" s="31"/>
      <c r="K55" s="26"/>
    </row>
    <row r="56" spans="1:11" x14ac:dyDescent="0.25">
      <c r="H56" s="26"/>
      <c r="I56" s="26"/>
      <c r="J56" s="31"/>
      <c r="K56" s="26"/>
    </row>
    <row r="57" spans="1:11" x14ac:dyDescent="0.25">
      <c r="H57" s="26"/>
      <c r="I57" s="26"/>
      <c r="J57" s="31"/>
      <c r="K57" s="26"/>
    </row>
    <row r="58" spans="1:11" x14ac:dyDescent="0.25">
      <c r="H58" s="26"/>
      <c r="I58" s="26"/>
      <c r="J58" s="31"/>
      <c r="K58" s="26"/>
    </row>
    <row r="59" spans="1:11" x14ac:dyDescent="0.25">
      <c r="H59" s="26"/>
      <c r="I59" s="26"/>
      <c r="J59" s="31"/>
      <c r="K59" s="26"/>
    </row>
    <row r="60" spans="1:11" x14ac:dyDescent="0.25">
      <c r="H60" s="26"/>
      <c r="I60" s="26"/>
      <c r="J60" s="31"/>
      <c r="K60" s="26"/>
    </row>
    <row r="61" spans="1:11" x14ac:dyDescent="0.25">
      <c r="H61" s="26"/>
      <c r="I61" s="26"/>
      <c r="J61" s="31"/>
      <c r="K61" s="26"/>
    </row>
    <row r="62" spans="1:11" x14ac:dyDescent="0.25">
      <c r="H62" s="26"/>
      <c r="I62" s="26"/>
      <c r="J62" s="31"/>
      <c r="K62" s="26"/>
    </row>
    <row r="63" spans="1:11" x14ac:dyDescent="0.25">
      <c r="H63" s="26"/>
      <c r="I63" s="26"/>
      <c r="J63" s="31"/>
      <c r="K63" s="26"/>
    </row>
    <row r="64" spans="1:11" x14ac:dyDescent="0.25">
      <c r="H64" s="26"/>
      <c r="I64" s="26"/>
      <c r="J64" s="31"/>
      <c r="K64" s="26"/>
    </row>
    <row r="65" spans="8:11" x14ac:dyDescent="0.25">
      <c r="H65" s="26"/>
      <c r="I65" s="26"/>
      <c r="J65" s="31"/>
      <c r="K65" s="26"/>
    </row>
    <row r="66" spans="8:11" x14ac:dyDescent="0.25">
      <c r="H66"/>
      <c r="I66"/>
    </row>
    <row r="67" spans="8:11" x14ac:dyDescent="0.25">
      <c r="H67"/>
      <c r="I67"/>
    </row>
    <row r="68" spans="8:11" x14ac:dyDescent="0.25">
      <c r="H68"/>
      <c r="I68"/>
    </row>
    <row r="69" spans="8:11" x14ac:dyDescent="0.25">
      <c r="H69"/>
      <c r="I69"/>
    </row>
    <row r="70" spans="8:11" ht="18.75" x14ac:dyDescent="0.3">
      <c r="H70" s="72" t="s">
        <v>42</v>
      </c>
      <c r="I70" s="72"/>
      <c r="J70" s="72"/>
      <c r="K70" s="72"/>
    </row>
    <row r="71" spans="8:11" ht="30" x14ac:dyDescent="0.25">
      <c r="H71" s="28" t="s">
        <v>43</v>
      </c>
      <c r="I71" s="28" t="s">
        <v>44</v>
      </c>
      <c r="J71" s="28" t="s">
        <v>45</v>
      </c>
      <c r="K71" s="28" t="s">
        <v>46</v>
      </c>
    </row>
    <row r="72" spans="8:11" ht="45" x14ac:dyDescent="0.25">
      <c r="H72" s="26" t="str" cm="1">
        <f t="array" ref="H72:K76">_xlfn.LET(
    _xlpm.sups, _xlfn.UNIQUE(_xlfn.DROP(PurchaseList_Table[Supplier Code],0)),
    _xlpm.totalCont, _xlfn.MAP(_xlpm.sups, _xlfn.LAMBDA(_xlpm.s, SUMIFS(PurchaseList_Table[CLN No. of cnt], PurchaseList_Table[Supplier Code], _xlpm.s))),
    _xlpm.totalWt,   _xlfn.MAP(_xlpm.sups, _xlfn.LAMBDA(_xlpm.s, SUMIFS(PurchaseList_Table[Weight], PurchaseList_Table[Supplier Code], _xlpm.s) &amp; " MT")),
    _xlpm.details, _xlfn.MAP(
        _xlpm.sups,
        _xlfn.LAMBDA(_xlpm.s,
            _xlfn.TEXTJOIN("
", TRUE,
                _xlfn._xlws.FILTER(
                    PurchaseList_Table[Material] &amp; " - " &amp;
                    PurchaseList_Table[Supplier Code] &amp; " - "
 &amp;PurchaseList_Table[No. of Containers]&amp; " ctrs- "
 &amp;PurchaseList_Table[Weight] &amp; " MT",
                    (PurchaseList_Table[Supplier Code]=_xlpm.s)*(PurchaseList_Table[No. of Containers]&lt;&gt;0),
                    ""
                )
            )
        )
    ),
    _xlfn.HSTACK(_xlpm.sups, _xlpm.totalCont, _xlpm.totalWt, _xlpm.details)
)</f>
        <v>SWEDN</v>
      </c>
      <c r="I72" s="26">
        <v>1</v>
      </c>
      <c r="J72" s="27" t="str">
        <v>77.019 MT</v>
      </c>
      <c r="K72" s="26" t="str">
        <v>REGULAR - SWEDN -  ctrs- 21.819 MT
JUMBO + REGULAR - SWEDN - 1 ctrs- 26.95 MT
REGULAR - SWEDN -  ctrs- 28.25 MT</v>
      </c>
    </row>
    <row r="73" spans="8:11" ht="30" x14ac:dyDescent="0.25">
      <c r="H73" s="26" t="str">
        <v>BENJA</v>
      </c>
      <c r="I73" s="26">
        <v>0</v>
      </c>
      <c r="J73" s="31" t="str">
        <v>81.14 MT</v>
      </c>
      <c r="K73" s="26" t="str">
        <v>JUMBO - BENJA -  ctrs- 51.14 MT
JUMBO 23 + 27 - BENJA -  ctrs- 30 MT</v>
      </c>
    </row>
    <row r="74" spans="8:11" ht="225" x14ac:dyDescent="0.25">
      <c r="H74" s="26" t="str">
        <v>JNKOREA</v>
      </c>
      <c r="I74" s="26">
        <v>3</v>
      </c>
      <c r="J74" s="31" t="str">
        <v>512.907 MT</v>
      </c>
      <c r="K74" s="26" t="str">
        <v>23 Dry - JNKOREA -  ctrs- 22.864 MT
23 Dry - JNKOREA - 1 ctrs- 22.74 MT
23 Dry - JNKOREA -  ctrs- 23.032 MT
30 jumbo - JNKOREA - 1 ctrs- 23.6 MT
30 jumbo - JNKOREA -  ctrs- 22.47 MT
30 jumbo - JNKOREA -  ctrs- 22.1 MT
30 jumbo - JNKOREA -  ctrs- 21.2 MT
30 jumbo - JNKOREA - 1 ctrs- 20.1 MT
OFFCUT + 30 - JNKOREA -  ctrs- 22.72 MT
OFFCUT - JNKOREA -  ctrs- 21.595 MT
30 JUMBO + OFFCUTS - JNKOREA -  ctrs- 22.72 MT
23/27/30 PRIME + OFFCUTS - JNKOREA -  ctrs- 23.766 MT
30 Jumbo - JNKOREA -  ctrs- 160 MT
30 jumbo gapping - JNKOREA -  ctrs- 50 MT
offcuts - JNKOREA -  ctrs- 34 MT</v>
      </c>
    </row>
    <row r="75" spans="8:11" ht="60" x14ac:dyDescent="0.25">
      <c r="H75" s="26" t="str">
        <v>MOSHE</v>
      </c>
      <c r="I75" s="26">
        <v>0</v>
      </c>
      <c r="J75" s="31" t="str">
        <v>108.8 MT</v>
      </c>
      <c r="K75" s="26" t="str">
        <v>REGULAR - MOSHE -  ctrs- 27.32 MT
REGULAR - MOSHE -  ctrs- 27.68 MT
JUMBO - MOSHE -  ctrs- 27.8 MT
REGULAR - MOSHE -  ctrs- 26 MT</v>
      </c>
    </row>
    <row r="76" spans="8:11" ht="195" x14ac:dyDescent="0.25">
      <c r="H76" s="26">
        <v>0</v>
      </c>
      <c r="I76" s="26">
        <v>0</v>
      </c>
      <c r="J76" s="31" t="str">
        <v>0 MT</v>
      </c>
      <c r="K76" s="26" t="str">
        <v xml:space="preserve"> -  -  ctrs-  MT
 -  -  ctrs-  MT
 -  -  ctrs-  MT
 -  -  ctrs-  MT
 -  -  ctrs-  MT
 -  -  ctrs-  MT
 -  -  ctrs-  MT
 -  -  ctrs-  MT
 -  -  ctrs-  MT
 -  -  ctrs-  MT
 -  -  ctrs-  MT
 -  -  ctrs-  MT
 -  -  ctrs-  MT</v>
      </c>
    </row>
    <row r="77" spans="8:11" x14ac:dyDescent="0.25">
      <c r="H77" s="26"/>
      <c r="I77" s="26"/>
      <c r="J77" s="31"/>
      <c r="K77" s="26"/>
    </row>
    <row r="78" spans="8:11" x14ac:dyDescent="0.25">
      <c r="H78" s="26"/>
      <c r="I78" s="26"/>
      <c r="J78" s="31"/>
      <c r="K78" s="26"/>
    </row>
    <row r="79" spans="8:11" x14ac:dyDescent="0.25">
      <c r="H79" s="26"/>
      <c r="I79" s="26"/>
      <c r="J79" s="31"/>
      <c r="K79" s="26"/>
    </row>
    <row r="80" spans="8:11" x14ac:dyDescent="0.25">
      <c r="H80" s="26"/>
      <c r="I80" s="26"/>
      <c r="J80" s="31"/>
      <c r="K80" s="26"/>
    </row>
    <row r="81" spans="8:11" x14ac:dyDescent="0.25">
      <c r="H81" s="26"/>
      <c r="I81" s="26"/>
      <c r="J81" s="31"/>
      <c r="K81" s="26"/>
    </row>
    <row r="82" spans="8:11" x14ac:dyDescent="0.25">
      <c r="H82" s="26"/>
      <c r="I82" s="26"/>
      <c r="J82" s="31"/>
      <c r="K82" s="26"/>
    </row>
    <row r="83" spans="8:11" x14ac:dyDescent="0.25">
      <c r="H83" s="26"/>
      <c r="I83" s="26"/>
      <c r="J83" s="31"/>
      <c r="K83" s="26"/>
    </row>
    <row r="84" spans="8:11" x14ac:dyDescent="0.25">
      <c r="H84" s="26"/>
      <c r="I84" s="26"/>
      <c r="J84" s="31"/>
      <c r="K84" s="26"/>
    </row>
    <row r="85" spans="8:11" x14ac:dyDescent="0.25">
      <c r="H85" s="26"/>
      <c r="I85" s="26"/>
      <c r="J85" s="31"/>
      <c r="K85" s="26"/>
    </row>
    <row r="86" spans="8:11" x14ac:dyDescent="0.25">
      <c r="H86" s="26"/>
      <c r="I86" s="26"/>
      <c r="J86" s="31"/>
      <c r="K86" s="26"/>
    </row>
    <row r="87" spans="8:11" x14ac:dyDescent="0.25">
      <c r="H87" s="26"/>
      <c r="I87" s="26"/>
      <c r="J87" s="31"/>
      <c r="K87" s="26"/>
    </row>
    <row r="88" spans="8:11" x14ac:dyDescent="0.25">
      <c r="H88" s="26"/>
      <c r="I88" s="26"/>
      <c r="J88" s="31"/>
      <c r="K88" s="26"/>
    </row>
    <row r="89" spans="8:11" x14ac:dyDescent="0.25">
      <c r="H89" s="26"/>
      <c r="I89" s="26"/>
      <c r="J89" s="31"/>
      <c r="K89" s="26"/>
    </row>
    <row r="90" spans="8:11" x14ac:dyDescent="0.25">
      <c r="H90" s="26"/>
      <c r="I90" s="26"/>
      <c r="J90" s="31"/>
      <c r="K90" s="26"/>
    </row>
    <row r="91" spans="8:11" x14ac:dyDescent="0.25">
      <c r="H91" s="26"/>
      <c r="I91" s="26"/>
      <c r="J91" s="31"/>
      <c r="K91" s="26"/>
    </row>
    <row r="92" spans="8:11" x14ac:dyDescent="0.25">
      <c r="H92" s="26"/>
      <c r="I92" s="26"/>
      <c r="J92" s="31"/>
      <c r="K92" s="26"/>
    </row>
    <row r="93" spans="8:11" x14ac:dyDescent="0.25">
      <c r="H93" s="26"/>
      <c r="I93" s="26"/>
      <c r="J93" s="31"/>
      <c r="K93" s="26"/>
    </row>
    <row r="94" spans="8:11" x14ac:dyDescent="0.25">
      <c r="H94" s="26"/>
      <c r="I94" s="26"/>
      <c r="J94" s="31"/>
      <c r="K94" s="26"/>
    </row>
    <row r="95" spans="8:11" x14ac:dyDescent="0.25">
      <c r="H95" s="26"/>
      <c r="I95" s="26"/>
      <c r="J95" s="31"/>
      <c r="K95" s="26"/>
    </row>
    <row r="96" spans="8:11" x14ac:dyDescent="0.25">
      <c r="H96" s="26"/>
      <c r="I96" s="26"/>
      <c r="J96" s="31"/>
      <c r="K96" s="26"/>
    </row>
    <row r="97" spans="8:11" x14ac:dyDescent="0.25">
      <c r="H97" s="26"/>
      <c r="I97" s="26"/>
      <c r="J97" s="31"/>
      <c r="K97" s="26"/>
    </row>
    <row r="98" spans="8:11" x14ac:dyDescent="0.25">
      <c r="H98" s="26"/>
      <c r="I98" s="26"/>
      <c r="J98" s="31"/>
      <c r="K98" s="26"/>
    </row>
    <row r="99" spans="8:11" x14ac:dyDescent="0.25">
      <c r="H99" s="26"/>
      <c r="I99" s="26"/>
      <c r="J99" s="31"/>
      <c r="K99" s="26"/>
    </row>
    <row r="100" spans="8:11" x14ac:dyDescent="0.25">
      <c r="H100" s="26"/>
      <c r="I100" s="26"/>
      <c r="J100" s="31"/>
      <c r="K100" s="26"/>
    </row>
  </sheetData>
  <mergeCells count="31">
    <mergeCell ref="E21:E22"/>
    <mergeCell ref="D13:D17"/>
    <mergeCell ref="E13:E17"/>
    <mergeCell ref="D11:D12"/>
    <mergeCell ref="A1:A9"/>
    <mergeCell ref="A11:A19"/>
    <mergeCell ref="B1:B2"/>
    <mergeCell ref="C1:C2"/>
    <mergeCell ref="D1:D2"/>
    <mergeCell ref="E1:E2"/>
    <mergeCell ref="B3:B7"/>
    <mergeCell ref="C3:C7"/>
    <mergeCell ref="D3:D7"/>
    <mergeCell ref="E3:E7"/>
    <mergeCell ref="A21:A29"/>
    <mergeCell ref="A35:E35"/>
    <mergeCell ref="H70:K70"/>
    <mergeCell ref="H51:K51"/>
    <mergeCell ref="G1:I2"/>
    <mergeCell ref="B11:B12"/>
    <mergeCell ref="C11:C12"/>
    <mergeCell ref="E11:E12"/>
    <mergeCell ref="B13:B17"/>
    <mergeCell ref="C13:C17"/>
    <mergeCell ref="B23:B27"/>
    <mergeCell ref="C23:C27"/>
    <mergeCell ref="D23:D27"/>
    <mergeCell ref="E23:E27"/>
    <mergeCell ref="B21:B22"/>
    <mergeCell ref="C21:C22"/>
    <mergeCell ref="D21:D22"/>
  </mergeCells>
  <conditionalFormatting sqref="G1:I21">
    <cfRule type="expression" dxfId="37" priority="10">
      <formula>$G1&lt;&gt;""</formula>
    </cfRule>
  </conditionalFormatting>
  <conditionalFormatting sqref="A36:D50 A35">
    <cfRule type="expression" dxfId="36" priority="5">
      <formula>$A35&lt;&gt;0</formula>
    </cfRule>
  </conditionalFormatting>
  <conditionalFormatting sqref="H51:K65">
    <cfRule type="expression" dxfId="35" priority="4">
      <formula>$H51&lt;&gt;0</formula>
    </cfRule>
  </conditionalFormatting>
  <conditionalFormatting sqref="H70:K100">
    <cfRule type="expression" dxfId="34" priority="3">
      <formula>$H70&lt;&gt;0</formula>
    </cfRule>
  </conditionalFormatting>
  <conditionalFormatting sqref="E36">
    <cfRule type="expression" dxfId="33" priority="2">
      <formula>$A36&lt;&gt;0</formula>
    </cfRule>
  </conditionalFormatting>
  <conditionalFormatting sqref="E37:E50">
    <cfRule type="expression" dxfId="32" priority="1">
      <formula>$A37&lt;&gt;0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5F68F-E5EB-48C6-BF16-E18D9A3A1095}">
  <sheetPr codeName="Sheet2">
    <pageSetUpPr fitToPage="1"/>
  </sheetPr>
  <dimension ref="A1:AI59"/>
  <sheetViews>
    <sheetView tabSelected="1" zoomScale="90" zoomScaleNormal="9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D7" sqref="D7"/>
    </sheetView>
  </sheetViews>
  <sheetFormatPr defaultRowHeight="15" outlineLevelCol="1" x14ac:dyDescent="0.25"/>
  <cols>
    <col min="1" max="1" width="16" customWidth="1"/>
    <col min="2" max="2" width="22.140625" customWidth="1"/>
    <col min="3" max="3" width="19.140625" style="34" bestFit="1" customWidth="1"/>
    <col min="4" max="4" width="14.42578125" customWidth="1"/>
    <col min="5" max="5" width="15.7109375" hidden="1" customWidth="1" outlineLevel="1"/>
    <col min="6" max="6" width="14.28515625" hidden="1" customWidth="1" outlineLevel="1"/>
    <col min="7" max="7" width="25.28515625" customWidth="1" collapsed="1"/>
    <col min="8" max="8" width="13.42578125" customWidth="1"/>
    <col min="9" max="10" width="19.140625" bestFit="1" customWidth="1"/>
    <col min="11" max="11" width="14.42578125" customWidth="1"/>
    <col min="12" max="12" width="14.7109375" style="33" hidden="1" customWidth="1" outlineLevel="1"/>
    <col min="13" max="13" width="14" hidden="1" customWidth="1" outlineLevel="1"/>
    <col min="14" max="14" width="13.42578125" style="52" hidden="1" customWidth="1" outlineLevel="1"/>
    <col min="15" max="15" width="13.42578125" bestFit="1" customWidth="1" collapsed="1"/>
    <col min="16" max="16" width="21.7109375" hidden="1" customWidth="1" outlineLevel="1"/>
    <col min="17" max="17" width="21" bestFit="1" customWidth="1" collapsed="1"/>
    <col min="18" max="18" width="17" customWidth="1"/>
    <col min="19" max="19" width="20.28515625" hidden="1" customWidth="1" outlineLevel="1"/>
    <col min="20" max="20" width="22.28515625" bestFit="1" customWidth="1" collapsed="1"/>
    <col min="21" max="21" width="20.85546875" customWidth="1"/>
    <col min="22" max="22" width="21.28515625" hidden="1" customWidth="1" outlineLevel="1"/>
    <col min="23" max="23" width="22.28515625" customWidth="1" collapsed="1"/>
    <col min="24" max="24" width="12.85546875" customWidth="1"/>
    <col min="25" max="25" width="13.85546875" customWidth="1" outlineLevel="1"/>
    <col min="26" max="26" width="11.5703125" customWidth="1" outlineLevel="1"/>
    <col min="27" max="27" width="12" customWidth="1" outlineLevel="1"/>
    <col min="28" max="28" width="11.85546875" bestFit="1" customWidth="1"/>
    <col min="29" max="30" width="21.7109375" hidden="1" customWidth="1" outlineLevel="1"/>
    <col min="31" max="31" width="23.85546875" hidden="1" customWidth="1" outlineLevel="1"/>
    <col min="32" max="32" width="21.85546875" hidden="1" customWidth="1" outlineLevel="1"/>
    <col min="33" max="33" width="20.42578125" hidden="1" customWidth="1" outlineLevel="1"/>
    <col min="34" max="34" width="14.28515625" hidden="1" customWidth="1" outlineLevel="1"/>
    <col min="35" max="35" width="9.140625" collapsed="1"/>
  </cols>
  <sheetData>
    <row r="1" spans="1:34" s="9" customFormat="1" ht="18" customHeight="1" x14ac:dyDescent="0.25">
      <c r="C1" s="47"/>
      <c r="G1" s="85"/>
      <c r="H1" s="87"/>
      <c r="I1" s="86">
        <f>PurchaseList_Table[[#Totals], [Weight]]</f>
        <v>779.8660000000001</v>
      </c>
      <c r="K1" s="84">
        <f>PurchaseList_Table[[#Totals], [CLN No. of cnt]]</f>
        <v>4</v>
      </c>
      <c r="L1" s="59"/>
      <c r="N1" s="59"/>
      <c r="O1" s="49"/>
      <c r="P1" s="82">
        <f>PurchaseList_Table[[#Totals], [Advance Paid]]</f>
        <v>113084</v>
      </c>
      <c r="Q1" s="83">
        <f>PurchaseList_Table[[#Totals], [Total invoice Amount]]</f>
        <v>312136.17</v>
      </c>
      <c r="R1" s="48"/>
      <c r="S1" s="82">
        <f>PurchaseList_Table[[#Totals], [Paid Balance amount]]</f>
        <v>199052.16999999998</v>
      </c>
      <c r="T1" s="83">
        <f>PurchaseList_Table[[#Totals], [Outstanding Amount]]</f>
        <v>0</v>
      </c>
    </row>
    <row r="2" spans="1:34" s="9" customFormat="1" ht="18.75" customHeight="1" x14ac:dyDescent="0.25">
      <c r="C2" s="47"/>
      <c r="G2" s="85"/>
      <c r="H2" s="87"/>
      <c r="I2" s="84"/>
      <c r="K2" s="84"/>
      <c r="L2" s="59"/>
      <c r="O2" s="49"/>
      <c r="P2" s="82"/>
      <c r="Q2" s="83"/>
      <c r="R2" s="48"/>
      <c r="S2" s="82"/>
      <c r="T2" s="83"/>
    </row>
    <row r="3" spans="1:34" s="9" customFormat="1" ht="15" customHeight="1" x14ac:dyDescent="0.25">
      <c r="C3" s="47"/>
      <c r="G3" s="85"/>
      <c r="H3" s="87"/>
      <c r="I3" s="84"/>
      <c r="K3" s="84"/>
      <c r="L3" s="59"/>
      <c r="O3" s="49"/>
      <c r="P3" s="82"/>
      <c r="Q3" s="83"/>
      <c r="R3" s="48"/>
      <c r="S3" s="82"/>
      <c r="T3" s="83"/>
    </row>
    <row r="4" spans="1:34" s="35" customFormat="1" ht="45" x14ac:dyDescent="0.25">
      <c r="A4" s="38" t="s">
        <v>67</v>
      </c>
      <c r="B4" s="38" t="s">
        <v>0</v>
      </c>
      <c r="C4" s="38" t="s">
        <v>1</v>
      </c>
      <c r="D4" s="40" t="s">
        <v>61</v>
      </c>
      <c r="E4" s="39" t="s">
        <v>59</v>
      </c>
      <c r="F4" s="39" t="s">
        <v>65</v>
      </c>
      <c r="G4" s="39" t="s">
        <v>2</v>
      </c>
      <c r="H4" s="38" t="s">
        <v>17</v>
      </c>
      <c r="I4" s="38" t="s">
        <v>7</v>
      </c>
      <c r="J4" s="39" t="s">
        <v>64</v>
      </c>
      <c r="K4" s="39" t="s">
        <v>68</v>
      </c>
      <c r="L4" s="38" t="s">
        <v>6</v>
      </c>
      <c r="M4" s="38" t="s">
        <v>142</v>
      </c>
      <c r="N4" s="40" t="s">
        <v>13</v>
      </c>
      <c r="O4" s="40" t="s">
        <v>3</v>
      </c>
      <c r="P4" s="50" t="s">
        <v>66</v>
      </c>
      <c r="Q4" s="38" t="s">
        <v>4</v>
      </c>
      <c r="R4" s="38" t="s">
        <v>14</v>
      </c>
      <c r="S4" s="38" t="s">
        <v>10</v>
      </c>
      <c r="T4" s="38" t="s">
        <v>9</v>
      </c>
      <c r="U4" s="38" t="s">
        <v>5</v>
      </c>
      <c r="V4" s="38" t="s">
        <v>11</v>
      </c>
      <c r="W4" s="38" t="s">
        <v>12</v>
      </c>
      <c r="X4" s="38" t="s">
        <v>72</v>
      </c>
      <c r="Y4" s="38" t="s">
        <v>78</v>
      </c>
      <c r="Z4" s="38" t="s">
        <v>15</v>
      </c>
      <c r="AA4" s="38" t="s">
        <v>16</v>
      </c>
      <c r="AB4" s="38" t="s">
        <v>71</v>
      </c>
      <c r="AC4" s="61" t="s">
        <v>79</v>
      </c>
      <c r="AD4" s="38" t="s">
        <v>37</v>
      </c>
      <c r="AE4" s="38" t="s">
        <v>50</v>
      </c>
      <c r="AF4" s="38" t="s">
        <v>51</v>
      </c>
      <c r="AG4" s="38" t="s">
        <v>52</v>
      </c>
      <c r="AH4" s="38" t="s">
        <v>70</v>
      </c>
    </row>
    <row r="5" spans="1:34" ht="31.5" customHeight="1" x14ac:dyDescent="0.25">
      <c r="A5" s="36" t="s">
        <v>143</v>
      </c>
      <c r="B5" s="36" t="s">
        <v>144</v>
      </c>
      <c r="C5" s="36" t="s">
        <v>145</v>
      </c>
      <c r="D5" s="46"/>
      <c r="E5" s="41"/>
      <c r="F5" s="60"/>
      <c r="G5" s="57" t="s">
        <v>147</v>
      </c>
      <c r="H5" s="36" t="s">
        <v>23</v>
      </c>
      <c r="I5" s="42">
        <v>21.818999999999999</v>
      </c>
      <c r="J5" s="1" t="str">
        <f>_xlfn.XLOOKUP(PurchaseList_Table[[#This Row],[BL No]],ResultTable[BL], ResultTable[Containers No.], "")</f>
        <v/>
      </c>
      <c r="K5" s="1" t="str">
        <f>_xlfn.XLOOKUP(PurchaseList_Table[[#This Row],[BL No]],ResultTable[BL], ResultTable[Container Type], "")</f>
        <v/>
      </c>
      <c r="L5" s="1" t="str">
        <f>_xlfn.XLOOKUP(PurchaseList_Table[[#This Row],[BL No]],ResultTable[BL], ResultTable[No. of Containers], "")</f>
        <v/>
      </c>
      <c r="M5" s="98">
        <f>IF(PurchaseList_Table[[#This Row],[ETA]]="", 2958465, VALUE(PurchaseList_Table[[#This Row],[ETA]]))</f>
        <v>2958465</v>
      </c>
      <c r="N5" s="33" t="str">
        <f>_xlfn.XLOOKUP(PurchaseList_Table[[#This Row],[BL No]],ResultTable[BL], ResultTable[ETD], "")</f>
        <v/>
      </c>
      <c r="O5" s="98" t="str">
        <f>_xlfn.XLOOKUP(PurchaseList_Table[[#This Row],[BL No]],ResultTable[BL], ResultTable[ETA], "")</f>
        <v/>
      </c>
      <c r="P5" s="51"/>
      <c r="Q5" s="43">
        <v>0</v>
      </c>
      <c r="R5" s="43">
        <v>12657.69</v>
      </c>
      <c r="S5" s="36">
        <v>0</v>
      </c>
      <c r="T5" s="43">
        <v>12657.69</v>
      </c>
      <c r="U5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5" s="33" t="str">
        <f>IFERROR(IF(PurchaseList_Table[[#This Row],[Outstanding Amount]]="","",
   PurchaseList_Table[[#This Row],[ETD]] + PurchaseList_Table[[#This Row],[Credit Period]]
),"")</f>
        <v/>
      </c>
      <c r="W5" s="1" t="str" cm="1">
        <f t="array" aca="1" ref="W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5" s="36"/>
      <c r="Y5" s="36"/>
      <c r="Z5" s="36"/>
      <c r="AA5" s="36"/>
      <c r="AB5" s="36"/>
      <c r="AC5" s="36"/>
      <c r="AD5" s="1" t="str">
        <f>IF(PurchaseList_Table[[#This Row],[ETA]]="","",TEXT(PurchaseList_Table[[#This Row],[ETA]],"MMM-YYYY"))</f>
        <v/>
      </c>
      <c r="AE5" s="1" t="str">
        <f>_xlfn.LET(_xlpm.x, TRIM(CLEAN(PurchaseList_Table[[#This Row],[Material]])), IF(_xlpm.x="", "", _xlpm.x))</f>
        <v>REGULAR</v>
      </c>
      <c r="AF5" s="1" t="str">
        <f>IF(PurchaseList_Table[[#This Row],[ETA MONTH]]="", "Waiting for loading", PurchaseList_Table[[#This Row],[ETA MONTH]])</f>
        <v>Waiting for loading</v>
      </c>
      <c r="AG5" s="1" cm="1">
        <f t="array" ref="AG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21.818999999999999</v>
      </c>
      <c r="AH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6" spans="1:34" ht="31.5" customHeight="1" x14ac:dyDescent="0.25">
      <c r="A6" s="36" t="s">
        <v>143</v>
      </c>
      <c r="B6" s="36" t="s">
        <v>148</v>
      </c>
      <c r="C6" s="36" t="s">
        <v>146</v>
      </c>
      <c r="D6" s="46"/>
      <c r="E6" s="41"/>
      <c r="F6" s="60"/>
      <c r="G6" s="57" t="s">
        <v>149</v>
      </c>
      <c r="H6" s="36" t="s">
        <v>90</v>
      </c>
      <c r="I6" s="42">
        <v>51.14</v>
      </c>
      <c r="J6" s="1" t="str">
        <f>_xlfn.XLOOKUP(PurchaseList_Table[[#This Row],[BL No]],ResultTable[BL], ResultTable[Containers No.], "")</f>
        <v/>
      </c>
      <c r="K6" s="1" t="str">
        <f>_xlfn.XLOOKUP(PurchaseList_Table[[#This Row],[BL No]],ResultTable[BL], ResultTable[Container Type], "")</f>
        <v/>
      </c>
      <c r="L6" s="1" t="str">
        <f>_xlfn.XLOOKUP(PurchaseList_Table[[#This Row],[BL No]],ResultTable[BL], ResultTable[No. of Containers], "")</f>
        <v/>
      </c>
      <c r="M6" s="98">
        <f>IF(PurchaseList_Table[[#This Row],[ETA]]="", 2958465, VALUE(PurchaseList_Table[[#This Row],[ETA]]))</f>
        <v>2958465</v>
      </c>
      <c r="N6" s="33" t="str">
        <f>_xlfn.XLOOKUP(PurchaseList_Table[[#This Row],[BL No]],ResultTable[BL], ResultTable[ETD], "")</f>
        <v/>
      </c>
      <c r="O6" s="98" t="str">
        <f>_xlfn.XLOOKUP(PurchaseList_Table[[#This Row],[BL No]],ResultTable[BL], ResultTable[ETA], "")</f>
        <v/>
      </c>
      <c r="P6" s="51"/>
      <c r="Q6" s="43">
        <v>7300</v>
      </c>
      <c r="R6" s="43">
        <v>35171.4</v>
      </c>
      <c r="S6" s="36">
        <v>0</v>
      </c>
      <c r="T6" s="43">
        <v>27871.4</v>
      </c>
      <c r="U6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6" s="33" t="str">
        <f>IFERROR(IF(PurchaseList_Table[[#This Row],[Outstanding Amount]]="","",
   PurchaseList_Table[[#This Row],[ETD]] + PurchaseList_Table[[#This Row],[Credit Period]]
),"")</f>
        <v/>
      </c>
      <c r="W6" s="1" t="str" cm="1">
        <f t="array" aca="1" ref="W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6" s="36"/>
      <c r="Y6" s="36"/>
      <c r="Z6" s="36"/>
      <c r="AA6" s="36"/>
      <c r="AB6" s="36"/>
      <c r="AC6" s="36"/>
      <c r="AD6" s="1" t="str">
        <f>IF(PurchaseList_Table[[#This Row],[ETA]]="","",TEXT(PurchaseList_Table[[#This Row],[ETA]],"MMM-YYYY"))</f>
        <v/>
      </c>
      <c r="AE6" s="1" t="str">
        <f>_xlfn.LET(_xlpm.x, TRIM(CLEAN(PurchaseList_Table[[#This Row],[Material]])), IF(_xlpm.x="", "", _xlpm.x))</f>
        <v>JUMBO</v>
      </c>
      <c r="AF6" s="1" t="str">
        <f>IF(PurchaseList_Table[[#This Row],[ETA MONTH]]="", "Waiting for loading", PurchaseList_Table[[#This Row],[ETA MONTH]])</f>
        <v>Waiting for loading</v>
      </c>
      <c r="AG6" s="1" cm="1">
        <f t="array" ref="AG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51.14</v>
      </c>
      <c r="AH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7" spans="1:34" ht="31.5" customHeight="1" x14ac:dyDescent="0.25">
      <c r="A7" s="36" t="s">
        <v>143</v>
      </c>
      <c r="B7" s="36" t="s">
        <v>135</v>
      </c>
      <c r="C7" s="36" t="s">
        <v>150</v>
      </c>
      <c r="D7" s="46"/>
      <c r="E7" s="41"/>
      <c r="F7" s="60"/>
      <c r="G7" s="57" t="s">
        <v>151</v>
      </c>
      <c r="H7" s="36" t="s">
        <v>21</v>
      </c>
      <c r="I7" s="42">
        <v>22.864000000000001</v>
      </c>
      <c r="J7" s="1" t="str">
        <f>_xlfn.XLOOKUP(PurchaseList_Table[[#This Row],[BL No]],ResultTable[BL], ResultTable[Containers No.], "")</f>
        <v/>
      </c>
      <c r="K7" s="1" t="str">
        <f>_xlfn.XLOOKUP(PurchaseList_Table[[#This Row],[BL No]],ResultTable[BL], ResultTable[Container Type], "")</f>
        <v/>
      </c>
      <c r="L7" s="1" t="str">
        <f>_xlfn.XLOOKUP(PurchaseList_Table[[#This Row],[BL No]],ResultTable[BL], ResultTable[No. of Containers], "")</f>
        <v/>
      </c>
      <c r="M7" s="98">
        <f>IF(PurchaseList_Table[[#This Row],[ETA]]="", 2958465, VALUE(PurchaseList_Table[[#This Row],[ETA]]))</f>
        <v>2958465</v>
      </c>
      <c r="N7" s="33" t="str">
        <f>_xlfn.XLOOKUP(PurchaseList_Table[[#This Row],[BL No]],ResultTable[BL], ResultTable[ETD], "")</f>
        <v/>
      </c>
      <c r="O7" s="98" t="str">
        <f>_xlfn.XLOOKUP(PurchaseList_Table[[#This Row],[BL No]],ResultTable[BL], ResultTable[ETA], "")</f>
        <v/>
      </c>
      <c r="P7" s="51"/>
      <c r="Q7" s="43">
        <v>9775</v>
      </c>
      <c r="R7" s="43">
        <v>19332.400000000001</v>
      </c>
      <c r="S7" s="36">
        <v>0</v>
      </c>
      <c r="T7" s="43">
        <v>9557.4</v>
      </c>
      <c r="U7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7" s="33" t="str">
        <f>IFERROR(IF(PurchaseList_Table[[#This Row],[Outstanding Amount]]="","",
   PurchaseList_Table[[#This Row],[ETD]] + PurchaseList_Table[[#This Row],[Credit Period]]
),"")</f>
        <v/>
      </c>
      <c r="W7" s="1" t="str" cm="1">
        <f t="array" aca="1" ref="W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7" s="36"/>
      <c r="Y7" s="36"/>
      <c r="Z7" s="36"/>
      <c r="AA7" s="36"/>
      <c r="AB7" s="36"/>
      <c r="AC7" s="36"/>
      <c r="AD7" s="1" t="str">
        <f>IF(PurchaseList_Table[[#This Row],[ETA]]="","",TEXT(PurchaseList_Table[[#This Row],[ETA]],"MMM-YYYY"))</f>
        <v/>
      </c>
      <c r="AE7" s="1" t="str">
        <f>_xlfn.LET(_xlpm.x, TRIM(CLEAN(PurchaseList_Table[[#This Row],[Material]])), IF(_xlpm.x="", "", _xlpm.x))</f>
        <v>23 Dry</v>
      </c>
      <c r="AF7" s="1" t="str">
        <f>IF(PurchaseList_Table[[#This Row],[ETA MONTH]]="", "Waiting for loading", PurchaseList_Table[[#This Row],[ETA MONTH]])</f>
        <v>Waiting for loading</v>
      </c>
      <c r="AG7" s="1" cm="1">
        <f t="array" ref="AG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22.864000000000001</v>
      </c>
      <c r="AH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8" spans="1:34" ht="31.5" customHeight="1" x14ac:dyDescent="0.25">
      <c r="A8" s="36" t="s">
        <v>143</v>
      </c>
      <c r="B8" s="36" t="s">
        <v>135</v>
      </c>
      <c r="C8" s="36" t="s">
        <v>150</v>
      </c>
      <c r="D8" s="46"/>
      <c r="E8" s="41"/>
      <c r="F8" s="60"/>
      <c r="G8" s="57" t="s">
        <v>31</v>
      </c>
      <c r="H8" s="36" t="s">
        <v>21</v>
      </c>
      <c r="I8" s="42">
        <v>22.74</v>
      </c>
      <c r="J8" s="1" t="str">
        <f>_xlfn.XLOOKUP(PurchaseList_Table[[#This Row],[BL No]],ResultTable[BL], ResultTable[Containers No.], "")</f>
        <v>GCXU2426575</v>
      </c>
      <c r="K8" s="1" t="str">
        <f>_xlfn.XLOOKUP(PurchaseList_Table[[#This Row],[BL No]],ResultTable[BL], ResultTable[Container Type], "")</f>
        <v>1 x 20 D</v>
      </c>
      <c r="L8" s="1" t="str">
        <f>_xlfn.XLOOKUP(PurchaseList_Table[[#This Row],[BL No]],ResultTable[BL], ResultTable[No. of Containers], "")</f>
        <v>1</v>
      </c>
      <c r="M8" s="98">
        <f>IF(PurchaseList_Table[[#This Row],[ETA]]="", 2958465, VALUE(PurchaseList_Table[[#This Row],[ETA]]))</f>
        <v>46034</v>
      </c>
      <c r="N8" s="33" t="str">
        <f>_xlfn.XLOOKUP(PurchaseList_Table[[#This Row],[BL No]],ResultTable[BL], ResultTable[ETD], "")</f>
        <v>10-12-2025</v>
      </c>
      <c r="O8" s="98" t="str">
        <f>_xlfn.XLOOKUP(PurchaseList_Table[[#This Row],[BL No]],ResultTable[BL], ResultTable[ETA], "")</f>
        <v>12-01-2026</v>
      </c>
      <c r="P8" s="51"/>
      <c r="Q8" s="43">
        <v>9775</v>
      </c>
      <c r="R8" s="43">
        <v>19227</v>
      </c>
      <c r="S8" s="36">
        <v>0</v>
      </c>
      <c r="T8" s="43">
        <v>9452</v>
      </c>
      <c r="U8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8" s="33">
        <f>IFERROR(IF(PurchaseList_Table[[#This Row],[Outstanding Amount]]="","",
   PurchaseList_Table[[#This Row],[ETD]] + PurchaseList_Table[[#This Row],[Credit Period]]
),"")</f>
        <v>46001</v>
      </c>
      <c r="W8" s="1" t="str" cm="1">
        <f t="array" aca="1" ref="W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8" s="36"/>
      <c r="Y8" s="36"/>
      <c r="Z8" s="36"/>
      <c r="AA8" s="36"/>
      <c r="AB8" s="36"/>
      <c r="AC8" s="36"/>
      <c r="AD8" s="1" t="str">
        <f>IF(PurchaseList_Table[[#This Row],[ETA]]="","",TEXT(PurchaseList_Table[[#This Row],[ETA]],"MMM-YYYY"))</f>
        <v>Jan-2026</v>
      </c>
      <c r="AE8" s="1" t="str">
        <f>_xlfn.LET(_xlpm.x, TRIM(CLEAN(PurchaseList_Table[[#This Row],[Material]])), IF(_xlpm.x="", "", _xlpm.x))</f>
        <v>23 Dry</v>
      </c>
      <c r="AF8" s="1" t="str">
        <f>IF(PurchaseList_Table[[#This Row],[ETA MONTH]]="", "Waiting for loading", PurchaseList_Table[[#This Row],[ETA MONTH]])</f>
        <v>Jan-2026</v>
      </c>
      <c r="AG8" s="1" cm="1">
        <f t="array" ref="AG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22.74</v>
      </c>
      <c r="AH8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9" spans="1:34" ht="31.5" customHeight="1" x14ac:dyDescent="0.25">
      <c r="A9" s="36" t="s">
        <v>143</v>
      </c>
      <c r="B9" s="36" t="s">
        <v>135</v>
      </c>
      <c r="C9" s="36" t="s">
        <v>150</v>
      </c>
      <c r="D9" s="46"/>
      <c r="E9" s="41"/>
      <c r="F9" s="60"/>
      <c r="G9" s="57" t="s">
        <v>152</v>
      </c>
      <c r="H9" s="36" t="s">
        <v>21</v>
      </c>
      <c r="I9" s="42">
        <v>23.032</v>
      </c>
      <c r="J9" s="1" t="str">
        <f>_xlfn.XLOOKUP(PurchaseList_Table[[#This Row],[BL No]],ResultTable[BL], ResultTable[Containers No.], "")</f>
        <v/>
      </c>
      <c r="K9" s="1" t="str">
        <f>_xlfn.XLOOKUP(PurchaseList_Table[[#This Row],[BL No]],ResultTable[BL], ResultTable[Container Type], "")</f>
        <v/>
      </c>
      <c r="L9" s="1" t="str">
        <f>_xlfn.XLOOKUP(PurchaseList_Table[[#This Row],[BL No]],ResultTable[BL], ResultTable[No. of Containers], "")</f>
        <v/>
      </c>
      <c r="M9" s="98">
        <f>IF(PurchaseList_Table[[#This Row],[ETA]]="", 2958465, VALUE(PurchaseList_Table[[#This Row],[ETA]]))</f>
        <v>2958465</v>
      </c>
      <c r="N9" s="33" t="str">
        <f>_xlfn.XLOOKUP(PurchaseList_Table[[#This Row],[BL No]],ResultTable[BL], ResultTable[ETD], "")</f>
        <v/>
      </c>
      <c r="O9" s="98" t="str">
        <f>_xlfn.XLOOKUP(PurchaseList_Table[[#This Row],[BL No]],ResultTable[BL], ResultTable[ETA], "")</f>
        <v/>
      </c>
      <c r="P9" s="51"/>
      <c r="Q9" s="43">
        <v>9775</v>
      </c>
      <c r="R9" s="43">
        <v>19475.2</v>
      </c>
      <c r="S9" s="36">
        <v>0</v>
      </c>
      <c r="T9" s="43">
        <v>9700.2000000000007</v>
      </c>
      <c r="U9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9" s="33" t="str">
        <f>IFERROR(IF(PurchaseList_Table[[#This Row],[Outstanding Amount]]="","",
   PurchaseList_Table[[#This Row],[ETD]] + PurchaseList_Table[[#This Row],[Credit Period]]
),"")</f>
        <v/>
      </c>
      <c r="W9" s="1" t="str" cm="1">
        <f t="array" aca="1" ref="W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9" s="36"/>
      <c r="Y9" s="36"/>
      <c r="Z9" s="36"/>
      <c r="AA9" s="36"/>
      <c r="AB9" s="36"/>
      <c r="AC9" s="36"/>
      <c r="AD9" s="1" t="str">
        <f>IF(PurchaseList_Table[[#This Row],[ETA]]="","",TEXT(PurchaseList_Table[[#This Row],[ETA]],"MMM-YYYY"))</f>
        <v/>
      </c>
      <c r="AE9" s="1" t="str">
        <f>_xlfn.LET(_xlpm.x, TRIM(CLEAN(PurchaseList_Table[[#This Row],[Material]])), IF(_xlpm.x="", "", _xlpm.x))</f>
        <v>23 Dry</v>
      </c>
      <c r="AF9" s="1" t="str">
        <f>IF(PurchaseList_Table[[#This Row],[ETA MONTH]]="", "Waiting for loading", PurchaseList_Table[[#This Row],[ETA MONTH]])</f>
        <v>Waiting for loading</v>
      </c>
      <c r="AG9" s="1" cm="1">
        <f t="array" ref="AG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23.032</v>
      </c>
      <c r="AH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0" spans="1:34" ht="31.5" customHeight="1" x14ac:dyDescent="0.25">
      <c r="A10" s="36" t="s">
        <v>143</v>
      </c>
      <c r="B10" s="36" t="s">
        <v>135</v>
      </c>
      <c r="C10" s="36" t="s">
        <v>153</v>
      </c>
      <c r="D10" s="46"/>
      <c r="E10" s="41"/>
      <c r="F10" s="60"/>
      <c r="G10" s="57" t="s">
        <v>63</v>
      </c>
      <c r="H10" s="36" t="s">
        <v>21</v>
      </c>
      <c r="I10" s="42">
        <v>23.6</v>
      </c>
      <c r="J10" s="1" t="str">
        <f>_xlfn.XLOOKUP(PurchaseList_Table[[#This Row],[BL No]],ResultTable[BL], ResultTable[Containers No.], "")</f>
        <v>SKLU0731054</v>
      </c>
      <c r="K10" s="1" t="str">
        <f>_xlfn.XLOOKUP(PurchaseList_Table[[#This Row],[BL No]],ResultTable[BL], ResultTable[Container Type], "")</f>
        <v>1 x 20 D</v>
      </c>
      <c r="L10" s="1" t="str">
        <f>_xlfn.XLOOKUP(PurchaseList_Table[[#This Row],[BL No]],ResultTable[BL], ResultTable[No. of Containers], "")</f>
        <v>1</v>
      </c>
      <c r="M10" s="98">
        <f>IF(PurchaseList_Table[[#This Row],[ETA]]="", 2958465, VALUE(PurchaseList_Table[[#This Row],[ETA]]))</f>
        <v>46039</v>
      </c>
      <c r="N10" s="33" t="str">
        <f>_xlfn.XLOOKUP(PurchaseList_Table[[#This Row],[BL No]],ResultTable[BL], ResultTable[ETD], "")</f>
        <v>13-12-2025</v>
      </c>
      <c r="O10" s="98" t="str">
        <f>_xlfn.XLOOKUP(PurchaseList_Table[[#This Row],[BL No]],ResultTable[BL], ResultTable[ETA], "")</f>
        <v>17-01-2026</v>
      </c>
      <c r="P10" s="51"/>
      <c r="Q10" s="43">
        <v>7710</v>
      </c>
      <c r="R10" s="43">
        <v>16632.91</v>
      </c>
      <c r="S10" s="36">
        <v>0</v>
      </c>
      <c r="T10" s="43">
        <v>8922.91</v>
      </c>
      <c r="U10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0" s="33">
        <f>IFERROR(IF(PurchaseList_Table[[#This Row],[Outstanding Amount]]="","",
   PurchaseList_Table[[#This Row],[ETD]] + PurchaseList_Table[[#This Row],[Credit Period]]
),"")</f>
        <v>46004</v>
      </c>
      <c r="W10" s="1" t="str" cm="1">
        <f t="array" aca="1" ref="W1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0" s="36"/>
      <c r="Y10" s="36"/>
      <c r="Z10" s="36"/>
      <c r="AA10" s="36"/>
      <c r="AB10" s="36"/>
      <c r="AC10" s="36"/>
      <c r="AD10" s="1" t="str">
        <f>IF(PurchaseList_Table[[#This Row],[ETA]]="","",TEXT(PurchaseList_Table[[#This Row],[ETA]],"MMM-YYYY"))</f>
        <v>Jan-2026</v>
      </c>
      <c r="AE10" s="1" t="str">
        <f>_xlfn.LET(_xlpm.x, TRIM(CLEAN(PurchaseList_Table[[#This Row],[Material]])), IF(_xlpm.x="", "", _xlpm.x))</f>
        <v>30 jumbo</v>
      </c>
      <c r="AF10" s="1" t="str">
        <f>IF(PurchaseList_Table[[#This Row],[ETA MONTH]]="", "Waiting for loading", PurchaseList_Table[[#This Row],[ETA MONTH]])</f>
        <v>Jan-2026</v>
      </c>
      <c r="AG10" s="1" cm="1">
        <f t="array" ref="AG1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23.6</v>
      </c>
      <c r="AH10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1" spans="1:34" ht="31.5" customHeight="1" x14ac:dyDescent="0.25">
      <c r="A11" s="36" t="s">
        <v>143</v>
      </c>
      <c r="B11" s="36" t="s">
        <v>135</v>
      </c>
      <c r="C11" s="36" t="s">
        <v>153</v>
      </c>
      <c r="D11" s="46"/>
      <c r="E11" s="41"/>
      <c r="F11" s="60"/>
      <c r="G11" s="57" t="s">
        <v>154</v>
      </c>
      <c r="H11" s="36" t="s">
        <v>21</v>
      </c>
      <c r="I11" s="42">
        <v>22.47</v>
      </c>
      <c r="J11" s="1" t="str">
        <f>_xlfn.XLOOKUP(PurchaseList_Table[[#This Row],[BL No]],ResultTable[BL], ResultTable[Containers No.], "")</f>
        <v/>
      </c>
      <c r="K11" s="1" t="str">
        <f>_xlfn.XLOOKUP(PurchaseList_Table[[#This Row],[BL No]],ResultTable[BL], ResultTable[Container Type], "")</f>
        <v/>
      </c>
      <c r="L11" s="1" t="str">
        <f>_xlfn.XLOOKUP(PurchaseList_Table[[#This Row],[BL No]],ResultTable[BL], ResultTable[No. of Containers], "")</f>
        <v/>
      </c>
      <c r="M11" s="98">
        <f>IF(PurchaseList_Table[[#This Row],[ETA]]="", 2958465, VALUE(PurchaseList_Table[[#This Row],[ETA]]))</f>
        <v>2958465</v>
      </c>
      <c r="N11" s="33" t="str">
        <f>_xlfn.XLOOKUP(PurchaseList_Table[[#This Row],[BL No]],ResultTable[BL], ResultTable[ETD], "")</f>
        <v/>
      </c>
      <c r="O11" s="98" t="str">
        <f>_xlfn.XLOOKUP(PurchaseList_Table[[#This Row],[BL No]],ResultTable[BL], ResultTable[ETA], "")</f>
        <v/>
      </c>
      <c r="P11" s="51"/>
      <c r="Q11" s="43">
        <v>7710</v>
      </c>
      <c r="R11" s="43">
        <v>15862.73</v>
      </c>
      <c r="S11" s="36">
        <v>0</v>
      </c>
      <c r="T11" s="43">
        <v>8152.73</v>
      </c>
      <c r="U11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1" s="33" t="str">
        <f>IFERROR(IF(PurchaseList_Table[[#This Row],[Outstanding Amount]]="","",
   PurchaseList_Table[[#This Row],[ETD]] + PurchaseList_Table[[#This Row],[Credit Period]]
),"")</f>
        <v/>
      </c>
      <c r="W11" s="1" t="str" cm="1">
        <f t="array" aca="1" ref="W1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1" s="36"/>
      <c r="Y11" s="36"/>
      <c r="Z11" s="36"/>
      <c r="AA11" s="36"/>
      <c r="AB11" s="36"/>
      <c r="AC11" s="36"/>
      <c r="AD11" s="1" t="str">
        <f>IF(PurchaseList_Table[[#This Row],[ETA]]="","",TEXT(PurchaseList_Table[[#This Row],[ETA]],"MMM-YYYY"))</f>
        <v/>
      </c>
      <c r="AE11" s="1" t="str">
        <f>_xlfn.LET(_xlpm.x, TRIM(CLEAN(PurchaseList_Table[[#This Row],[Material]])), IF(_xlpm.x="", "", _xlpm.x))</f>
        <v>30 jumbo</v>
      </c>
      <c r="AF11" s="1" t="str">
        <f>IF(PurchaseList_Table[[#This Row],[ETA MONTH]]="", "Waiting for loading", PurchaseList_Table[[#This Row],[ETA MONTH]])</f>
        <v>Waiting for loading</v>
      </c>
      <c r="AG11" s="1" cm="1">
        <f t="array" ref="AG1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22.47</v>
      </c>
      <c r="AH1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2" spans="1:34" ht="31.5" customHeight="1" x14ac:dyDescent="0.25">
      <c r="A12" s="36" t="s">
        <v>143</v>
      </c>
      <c r="B12" s="36" t="s">
        <v>135</v>
      </c>
      <c r="C12" s="36" t="s">
        <v>153</v>
      </c>
      <c r="D12" s="46"/>
      <c r="E12" s="41"/>
      <c r="F12" s="60"/>
      <c r="G12" s="57" t="s">
        <v>155</v>
      </c>
      <c r="H12" s="36" t="s">
        <v>21</v>
      </c>
      <c r="I12" s="42">
        <v>22.1</v>
      </c>
      <c r="J12" s="1" t="str">
        <f>_xlfn.XLOOKUP(PurchaseList_Table[[#This Row],[BL No]],ResultTable[BL], ResultTable[Containers No.], "")</f>
        <v/>
      </c>
      <c r="K12" s="1" t="str">
        <f>_xlfn.XLOOKUP(PurchaseList_Table[[#This Row],[BL No]],ResultTable[BL], ResultTable[Container Type], "")</f>
        <v/>
      </c>
      <c r="L12" s="1" t="str">
        <f>_xlfn.XLOOKUP(PurchaseList_Table[[#This Row],[BL No]],ResultTable[BL], ResultTable[No. of Containers], "")</f>
        <v/>
      </c>
      <c r="M12" s="98">
        <f>IF(PurchaseList_Table[[#This Row],[ETA]]="", 2958465, VALUE(PurchaseList_Table[[#This Row],[ETA]]))</f>
        <v>2958465</v>
      </c>
      <c r="N12" s="33" t="str">
        <f>_xlfn.XLOOKUP(PurchaseList_Table[[#This Row],[BL No]],ResultTable[BL], ResultTable[ETD], "")</f>
        <v/>
      </c>
      <c r="O12" s="98" t="str">
        <f>_xlfn.XLOOKUP(PurchaseList_Table[[#This Row],[BL No]],ResultTable[BL], ResultTable[ETA], "")</f>
        <v/>
      </c>
      <c r="P12" s="51"/>
      <c r="Q12" s="43">
        <v>7710</v>
      </c>
      <c r="R12" s="43">
        <v>15558.9</v>
      </c>
      <c r="S12" s="36">
        <v>0</v>
      </c>
      <c r="T12" s="43">
        <v>7848.9</v>
      </c>
      <c r="U12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2" s="33" t="str">
        <f>IFERROR(IF(PurchaseList_Table[[#This Row],[Outstanding Amount]]="","",
   PurchaseList_Table[[#This Row],[ETD]] + PurchaseList_Table[[#This Row],[Credit Period]]
),"")</f>
        <v/>
      </c>
      <c r="W12" s="1" t="str" cm="1">
        <f t="array" aca="1" ref="W1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2" s="36"/>
      <c r="Y12" s="36"/>
      <c r="Z12" s="36"/>
      <c r="AA12" s="36"/>
      <c r="AB12" s="36"/>
      <c r="AC12" s="36"/>
      <c r="AD12" s="1" t="str">
        <f>IF(PurchaseList_Table[[#This Row],[ETA]]="","",TEXT(PurchaseList_Table[[#This Row],[ETA]],"MMM-YYYY"))</f>
        <v/>
      </c>
      <c r="AE12" s="1" t="str">
        <f>_xlfn.LET(_xlpm.x, TRIM(CLEAN(PurchaseList_Table[[#This Row],[Material]])), IF(_xlpm.x="", "", _xlpm.x))</f>
        <v>30 jumbo</v>
      </c>
      <c r="AF12" s="1" t="str">
        <f>IF(PurchaseList_Table[[#This Row],[ETA MONTH]]="", "Waiting for loading", PurchaseList_Table[[#This Row],[ETA MONTH]])</f>
        <v>Waiting for loading</v>
      </c>
      <c r="AG12" s="1" cm="1">
        <f t="array" ref="AG1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22.1</v>
      </c>
      <c r="AH1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3" spans="1:34" ht="31.5" customHeight="1" x14ac:dyDescent="0.25">
      <c r="A13" s="36" t="s">
        <v>143</v>
      </c>
      <c r="B13" s="36" t="s">
        <v>135</v>
      </c>
      <c r="C13" s="36" t="s">
        <v>153</v>
      </c>
      <c r="D13" s="46"/>
      <c r="E13" s="41"/>
      <c r="F13" s="60"/>
      <c r="G13" s="57" t="s">
        <v>156</v>
      </c>
      <c r="H13" s="36" t="s">
        <v>21</v>
      </c>
      <c r="I13" s="42">
        <v>21.2</v>
      </c>
      <c r="J13" s="1" t="str">
        <f>_xlfn.XLOOKUP(PurchaseList_Table[[#This Row],[BL No]],ResultTable[BL], ResultTable[Containers No.], "")</f>
        <v/>
      </c>
      <c r="K13" s="1" t="str">
        <f>_xlfn.XLOOKUP(PurchaseList_Table[[#This Row],[BL No]],ResultTable[BL], ResultTable[Container Type], "")</f>
        <v/>
      </c>
      <c r="L13" s="1" t="str">
        <f>_xlfn.XLOOKUP(PurchaseList_Table[[#This Row],[BL No]],ResultTable[BL], ResultTable[No. of Containers], "")</f>
        <v/>
      </c>
      <c r="M13" s="98">
        <f>IF(PurchaseList_Table[[#This Row],[ETA]]="", 2958465, VALUE(PurchaseList_Table[[#This Row],[ETA]]))</f>
        <v>2958465</v>
      </c>
      <c r="N13" s="33" t="str">
        <f>_xlfn.XLOOKUP(PurchaseList_Table[[#This Row],[BL No]],ResultTable[BL], ResultTable[ETD], "")</f>
        <v/>
      </c>
      <c r="O13" s="98" t="str">
        <f>_xlfn.XLOOKUP(PurchaseList_Table[[#This Row],[BL No]],ResultTable[BL], ResultTable[ETA], "")</f>
        <v/>
      </c>
      <c r="P13" s="51"/>
      <c r="Q13" s="43">
        <v>7710</v>
      </c>
      <c r="R13" s="43">
        <v>14908.85</v>
      </c>
      <c r="S13" s="36">
        <v>0</v>
      </c>
      <c r="T13" s="43">
        <v>7198.85</v>
      </c>
      <c r="U13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3" s="33" t="str">
        <f>IFERROR(IF(PurchaseList_Table[[#This Row],[Outstanding Amount]]="","",
   PurchaseList_Table[[#This Row],[ETD]] + PurchaseList_Table[[#This Row],[Credit Period]]
),"")</f>
        <v/>
      </c>
      <c r="W13" s="1" t="str" cm="1">
        <f t="array" aca="1" ref="W1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3" s="36"/>
      <c r="Y13" s="36"/>
      <c r="Z13" s="36"/>
      <c r="AA13" s="36"/>
      <c r="AB13" s="36"/>
      <c r="AC13" s="36"/>
      <c r="AD13" s="1" t="str">
        <f>IF(PurchaseList_Table[[#This Row],[ETA]]="","",TEXT(PurchaseList_Table[[#This Row],[ETA]],"MMM-YYYY"))</f>
        <v/>
      </c>
      <c r="AE13" s="1" t="str">
        <f>_xlfn.LET(_xlpm.x, TRIM(CLEAN(PurchaseList_Table[[#This Row],[Material]])), IF(_xlpm.x="", "", _xlpm.x))</f>
        <v>30 jumbo</v>
      </c>
      <c r="AF13" s="1" t="str">
        <f>IF(PurchaseList_Table[[#This Row],[ETA MONTH]]="", "Waiting for loading", PurchaseList_Table[[#This Row],[ETA MONTH]])</f>
        <v>Waiting for loading</v>
      </c>
      <c r="AG13" s="1" cm="1">
        <f t="array" ref="AG1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21.2</v>
      </c>
      <c r="AH1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4" spans="1:34" ht="31.5" customHeight="1" x14ac:dyDescent="0.25">
      <c r="A14" s="36" t="s">
        <v>143</v>
      </c>
      <c r="B14" s="36" t="s">
        <v>135</v>
      </c>
      <c r="C14" s="36" t="s">
        <v>153</v>
      </c>
      <c r="D14" s="46"/>
      <c r="E14" s="41"/>
      <c r="F14" s="60"/>
      <c r="G14" s="57" t="s">
        <v>62</v>
      </c>
      <c r="H14" s="36" t="s">
        <v>21</v>
      </c>
      <c r="I14" s="42">
        <v>20.100000000000001</v>
      </c>
      <c r="J14" s="1" t="str">
        <f>_xlfn.XLOOKUP(PurchaseList_Table[[#This Row],[BL No]],ResultTable[BL], ResultTable[Containers No.], "")</f>
        <v>SKLU0753156</v>
      </c>
      <c r="K14" s="1" t="str">
        <f>_xlfn.XLOOKUP(PurchaseList_Table[[#This Row],[BL No]],ResultTable[BL], ResultTable[Container Type], "")</f>
        <v>1 x 20 D</v>
      </c>
      <c r="L14" s="1" t="str">
        <f>_xlfn.XLOOKUP(PurchaseList_Table[[#This Row],[BL No]],ResultTable[BL], ResultTable[No. of Containers], "")</f>
        <v>1</v>
      </c>
      <c r="M14" s="98">
        <f>IF(PurchaseList_Table[[#This Row],[ETA]]="", 2958465, VALUE(PurchaseList_Table[[#This Row],[ETA]]))</f>
        <v>46039</v>
      </c>
      <c r="N14" s="33" t="str">
        <f>_xlfn.XLOOKUP(PurchaseList_Table[[#This Row],[BL No]],ResultTable[BL], ResultTable[ETD], "")</f>
        <v>13-12-2025</v>
      </c>
      <c r="O14" s="98" t="str">
        <f>_xlfn.XLOOKUP(PurchaseList_Table[[#This Row],[BL No]],ResultTable[BL], ResultTable[ETA], "")</f>
        <v>17-01-2026</v>
      </c>
      <c r="P14" s="51"/>
      <c r="Q14" s="43">
        <v>7710</v>
      </c>
      <c r="R14" s="43">
        <v>14131.61</v>
      </c>
      <c r="S14" s="36">
        <v>0</v>
      </c>
      <c r="T14" s="43">
        <v>6421.61</v>
      </c>
      <c r="U14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4" s="33">
        <f>IFERROR(IF(PurchaseList_Table[[#This Row],[Outstanding Amount]]="","",
   PurchaseList_Table[[#This Row],[ETD]] + PurchaseList_Table[[#This Row],[Credit Period]]
),"")</f>
        <v>46004</v>
      </c>
      <c r="W14" s="1" t="str" cm="1">
        <f t="array" aca="1" ref="W1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4" s="36"/>
      <c r="Y14" s="36"/>
      <c r="Z14" s="36"/>
      <c r="AA14" s="36"/>
      <c r="AB14" s="36"/>
      <c r="AC14" s="36"/>
      <c r="AD14" s="1" t="str">
        <f>IF(PurchaseList_Table[[#This Row],[ETA]]="","",TEXT(PurchaseList_Table[[#This Row],[ETA]],"MMM-YYYY"))</f>
        <v>Jan-2026</v>
      </c>
      <c r="AE14" s="1" t="str">
        <f>_xlfn.LET(_xlpm.x, TRIM(CLEAN(PurchaseList_Table[[#This Row],[Material]])), IF(_xlpm.x="", "", _xlpm.x))</f>
        <v>30 jumbo</v>
      </c>
      <c r="AF14" s="1" t="str">
        <f>IF(PurchaseList_Table[[#This Row],[ETA MONTH]]="", "Waiting for loading", PurchaseList_Table[[#This Row],[ETA MONTH]])</f>
        <v>Jan-2026</v>
      </c>
      <c r="AG14" s="1" cm="1">
        <f t="array" ref="AG1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20.100000000000001</v>
      </c>
      <c r="AH14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5" spans="1:34" ht="31.5" customHeight="1" x14ac:dyDescent="0.25">
      <c r="A15" s="36" t="s">
        <v>143</v>
      </c>
      <c r="B15" s="36" t="s">
        <v>144</v>
      </c>
      <c r="C15" s="36" t="s">
        <v>157</v>
      </c>
      <c r="D15" s="46"/>
      <c r="E15" s="41"/>
      <c r="F15" s="60"/>
      <c r="G15" s="57" t="s">
        <v>60</v>
      </c>
      <c r="H15" s="36" t="s">
        <v>26</v>
      </c>
      <c r="I15" s="42">
        <v>26.95</v>
      </c>
      <c r="J15" s="1" t="str">
        <f>_xlfn.XLOOKUP(PurchaseList_Table[[#This Row],[BL No]],ResultTable[BL], ResultTable[Containers No.], "")</f>
        <v>FCIU4300201</v>
      </c>
      <c r="K15" s="1" t="str">
        <f>_xlfn.XLOOKUP(PurchaseList_Table[[#This Row],[BL No]],ResultTable[BL], ResultTable[Container Type], "")</f>
        <v>1 x 20'/40'</v>
      </c>
      <c r="L15" s="1" t="str">
        <f>_xlfn.XLOOKUP(PurchaseList_Table[[#This Row],[BL No]],ResultTable[BL], ResultTable[No. of Containers], "")</f>
        <v>1</v>
      </c>
      <c r="M15" s="98">
        <f>IF(PurchaseList_Table[[#This Row],[ETA]]="", 2958465, VALUE(PurchaseList_Table[[#This Row],[ETA]]))</f>
        <v>46044</v>
      </c>
      <c r="N15" s="33" t="str">
        <f>_xlfn.XLOOKUP(PurchaseList_Table[[#This Row],[BL No]],ResultTable[BL], ResultTable[ETD], "")</f>
        <v>01-12-2025</v>
      </c>
      <c r="O15" s="98" t="str">
        <f>_xlfn.XLOOKUP(PurchaseList_Table[[#This Row],[BL No]],ResultTable[BL], ResultTable[ETA], "")</f>
        <v>22-01-2026</v>
      </c>
      <c r="P15" s="51"/>
      <c r="Q15" s="43">
        <v>0</v>
      </c>
      <c r="R15" s="43">
        <v>29288.04</v>
      </c>
      <c r="S15" s="36">
        <v>0</v>
      </c>
      <c r="T15" s="43">
        <v>29288.04</v>
      </c>
      <c r="U15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5" s="33">
        <f>IFERROR(IF(PurchaseList_Table[[#This Row],[Outstanding Amount]]="","",
   PurchaseList_Table[[#This Row],[ETD]] + PurchaseList_Table[[#This Row],[Credit Period]]
),"")</f>
        <v>45992</v>
      </c>
      <c r="W15" s="1" t="str" cm="1">
        <f t="array" aca="1" ref="W1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5" s="36"/>
      <c r="Y15" s="36"/>
      <c r="Z15" s="36"/>
      <c r="AA15" s="36"/>
      <c r="AB15" s="36"/>
      <c r="AC15" s="36"/>
      <c r="AD15" s="1" t="str">
        <f>IF(PurchaseList_Table[[#This Row],[ETA]]="","",TEXT(PurchaseList_Table[[#This Row],[ETA]],"MMM-YYYY"))</f>
        <v>Jan-2026</v>
      </c>
      <c r="AE15" s="1" t="str">
        <f>_xlfn.LET(_xlpm.x, TRIM(CLEAN(PurchaseList_Table[[#This Row],[Material]])), IF(_xlpm.x="", "", _xlpm.x))</f>
        <v>JUMBO + REGULAR</v>
      </c>
      <c r="AF15" s="1" t="str">
        <f>IF(PurchaseList_Table[[#This Row],[ETA MONTH]]="", "Waiting for loading", PurchaseList_Table[[#This Row],[ETA MONTH]])</f>
        <v>Jan-2026</v>
      </c>
      <c r="AG15" s="1" cm="1">
        <f t="array" ref="AG1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26.95</v>
      </c>
      <c r="AH15" s="1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>1</v>
      </c>
    </row>
    <row r="16" spans="1:34" ht="31.5" customHeight="1" x14ac:dyDescent="0.25">
      <c r="A16" s="36" t="s">
        <v>143</v>
      </c>
      <c r="B16" s="36" t="s">
        <v>144</v>
      </c>
      <c r="C16" s="36" t="s">
        <v>145</v>
      </c>
      <c r="D16" s="46"/>
      <c r="E16" s="41"/>
      <c r="F16" s="60"/>
      <c r="G16" s="57" t="s">
        <v>158</v>
      </c>
      <c r="H16" s="36" t="s">
        <v>26</v>
      </c>
      <c r="I16" s="42">
        <v>28.25</v>
      </c>
      <c r="J16" s="1" t="str">
        <f>_xlfn.XLOOKUP(PurchaseList_Table[[#This Row],[BL No]],ResultTable[BL], ResultTable[Containers No.], "")</f>
        <v/>
      </c>
      <c r="K16" s="1" t="str">
        <f>_xlfn.XLOOKUP(PurchaseList_Table[[#This Row],[BL No]],ResultTable[BL], ResultTable[Container Type], "")</f>
        <v/>
      </c>
      <c r="L16" s="1" t="str">
        <f>_xlfn.XLOOKUP(PurchaseList_Table[[#This Row],[BL No]],ResultTable[BL], ResultTable[No. of Containers], "")</f>
        <v/>
      </c>
      <c r="M16" s="98">
        <f>IF(PurchaseList_Table[[#This Row],[ETA]]="", 2958465, VALUE(PurchaseList_Table[[#This Row],[ETA]]))</f>
        <v>2958465</v>
      </c>
      <c r="N16" s="33" t="str">
        <f>_xlfn.XLOOKUP(PurchaseList_Table[[#This Row],[BL No]],ResultTable[BL], ResultTable[ETD], "")</f>
        <v/>
      </c>
      <c r="O16" s="98" t="str">
        <f>_xlfn.XLOOKUP(PurchaseList_Table[[#This Row],[BL No]],ResultTable[BL], ResultTable[ETA], "")</f>
        <v/>
      </c>
      <c r="P16" s="51"/>
      <c r="Q16" s="43">
        <v>0</v>
      </c>
      <c r="R16" s="43">
        <v>0</v>
      </c>
      <c r="S16" s="36">
        <v>0</v>
      </c>
      <c r="T16" s="43"/>
      <c r="U16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6" s="33" t="str">
        <f>IFERROR(IF(PurchaseList_Table[[#This Row],[Outstanding Amount]]="","",
   PurchaseList_Table[[#This Row],[ETD]] + PurchaseList_Table[[#This Row],[Credit Period]]
),"")</f>
        <v/>
      </c>
      <c r="W16" s="1" t="str" cm="1">
        <f t="array" aca="1" ref="W1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6" s="36"/>
      <c r="Y16" s="36"/>
      <c r="Z16" s="36"/>
      <c r="AA16" s="36"/>
      <c r="AB16" s="36"/>
      <c r="AC16" s="36"/>
      <c r="AD16" s="1" t="str">
        <f>IF(PurchaseList_Table[[#This Row],[ETA]]="","",TEXT(PurchaseList_Table[[#This Row],[ETA]],"MMM-YYYY"))</f>
        <v/>
      </c>
      <c r="AE16" s="1" t="str">
        <f>_xlfn.LET(_xlpm.x, TRIM(CLEAN(PurchaseList_Table[[#This Row],[Material]])), IF(_xlpm.x="", "", _xlpm.x))</f>
        <v>REGULAR</v>
      </c>
      <c r="AF16" s="1" t="str">
        <f>IF(PurchaseList_Table[[#This Row],[ETA MONTH]]="", "Waiting for loading", PurchaseList_Table[[#This Row],[ETA MONTH]])</f>
        <v>Waiting for loading</v>
      </c>
      <c r="AG16" s="1" cm="1">
        <f t="array" ref="AG1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28.25</v>
      </c>
      <c r="AH1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7" spans="1:34" ht="31.5" customHeight="1" x14ac:dyDescent="0.25">
      <c r="A17" s="36" t="s">
        <v>143</v>
      </c>
      <c r="B17" s="36" t="s">
        <v>135</v>
      </c>
      <c r="C17" s="36" t="s">
        <v>159</v>
      </c>
      <c r="D17" s="46"/>
      <c r="E17" s="41"/>
      <c r="F17" s="60"/>
      <c r="G17" s="57" t="s">
        <v>160</v>
      </c>
      <c r="H17" s="36" t="s">
        <v>28</v>
      </c>
      <c r="I17" s="42">
        <v>22.72</v>
      </c>
      <c r="J17" s="1" t="str">
        <f>_xlfn.XLOOKUP(PurchaseList_Table[[#This Row],[BL No]],ResultTable[BL], ResultTable[Containers No.], "")</f>
        <v/>
      </c>
      <c r="K17" s="1" t="str">
        <f>_xlfn.XLOOKUP(PurchaseList_Table[[#This Row],[BL No]],ResultTable[BL], ResultTable[Container Type], "")</f>
        <v/>
      </c>
      <c r="L17" s="1" t="str">
        <f>_xlfn.XLOOKUP(PurchaseList_Table[[#This Row],[BL No]],ResultTable[BL], ResultTable[No. of Containers], "")</f>
        <v/>
      </c>
      <c r="M17" s="98">
        <f>IF(PurchaseList_Table[[#This Row],[ETA]]="", 2958465, VALUE(PurchaseList_Table[[#This Row],[ETA]]))</f>
        <v>2958465</v>
      </c>
      <c r="N17" s="33" t="str">
        <f>_xlfn.XLOOKUP(PurchaseList_Table[[#This Row],[BL No]],ResultTable[BL], ResultTable[ETD], "")</f>
        <v/>
      </c>
      <c r="O17" s="98" t="str">
        <f>_xlfn.XLOOKUP(PurchaseList_Table[[#This Row],[BL No]],ResultTable[BL], ResultTable[ETA], "")</f>
        <v/>
      </c>
      <c r="P17" s="51"/>
      <c r="Q17" s="43">
        <v>7360</v>
      </c>
      <c r="R17" s="43">
        <v>15953.5</v>
      </c>
      <c r="S17" s="36">
        <v>0</v>
      </c>
      <c r="T17" s="43">
        <v>8593.5</v>
      </c>
      <c r="U17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7" s="33" t="str">
        <f>IFERROR(IF(PurchaseList_Table[[#This Row],[Outstanding Amount]]="","",
   PurchaseList_Table[[#This Row],[ETD]] + PurchaseList_Table[[#This Row],[Credit Period]]
),"")</f>
        <v/>
      </c>
      <c r="W17" s="1" t="str" cm="1">
        <f t="array" aca="1" ref="W1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7" s="36"/>
      <c r="Y17" s="36"/>
      <c r="Z17" s="36"/>
      <c r="AA17" s="36"/>
      <c r="AB17" s="36"/>
      <c r="AC17" s="36"/>
      <c r="AD17" s="1" t="str">
        <f>IF(PurchaseList_Table[[#This Row],[ETA]]="","",TEXT(PurchaseList_Table[[#This Row],[ETA]],"MMM-YYYY"))</f>
        <v/>
      </c>
      <c r="AE17" s="1" t="str">
        <f>_xlfn.LET(_xlpm.x, TRIM(CLEAN(PurchaseList_Table[[#This Row],[Material]])), IF(_xlpm.x="", "", _xlpm.x))</f>
        <v>OFFCUT + 30</v>
      </c>
      <c r="AF17" s="1" t="str">
        <f>IF(PurchaseList_Table[[#This Row],[ETA MONTH]]="", "Waiting for loading", PurchaseList_Table[[#This Row],[ETA MONTH]])</f>
        <v>Waiting for loading</v>
      </c>
      <c r="AG17" s="1" cm="1">
        <f t="array" ref="AG1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8" spans="1:34" ht="31.5" customHeight="1" x14ac:dyDescent="0.25">
      <c r="A18" s="36" t="s">
        <v>143</v>
      </c>
      <c r="B18" s="36" t="s">
        <v>135</v>
      </c>
      <c r="C18" s="36" t="s">
        <v>161</v>
      </c>
      <c r="D18" s="46"/>
      <c r="E18" s="41"/>
      <c r="F18" s="60"/>
      <c r="G18" s="57" t="s">
        <v>162</v>
      </c>
      <c r="H18" s="36" t="s">
        <v>28</v>
      </c>
      <c r="I18" s="42">
        <v>21.594999999999999</v>
      </c>
      <c r="J18" s="1" t="str">
        <f>_xlfn.XLOOKUP(PurchaseList_Table[[#This Row],[BL No]],ResultTable[BL], ResultTable[Containers No.], "")</f>
        <v/>
      </c>
      <c r="K18" s="1" t="str">
        <f>_xlfn.XLOOKUP(PurchaseList_Table[[#This Row],[BL No]],ResultTable[BL], ResultTable[Container Type], "")</f>
        <v/>
      </c>
      <c r="L18" s="1" t="str">
        <f>_xlfn.XLOOKUP(PurchaseList_Table[[#This Row],[BL No]],ResultTable[BL], ResultTable[No. of Containers], "")</f>
        <v/>
      </c>
      <c r="M18" s="98">
        <f>IF(PurchaseList_Table[[#This Row],[ETA]]="", 2958465, VALUE(PurchaseList_Table[[#This Row],[ETA]]))</f>
        <v>2958465</v>
      </c>
      <c r="N18" s="33" t="str">
        <f>_xlfn.XLOOKUP(PurchaseList_Table[[#This Row],[BL No]],ResultTable[BL], ResultTable[ETD], "")</f>
        <v/>
      </c>
      <c r="O18" s="98" t="str">
        <f>_xlfn.XLOOKUP(PurchaseList_Table[[#This Row],[BL No]],ResultTable[BL], ResultTable[ETA], "")</f>
        <v/>
      </c>
      <c r="P18" s="51"/>
      <c r="Q18" s="43">
        <v>7360</v>
      </c>
      <c r="R18" s="43">
        <v>13626.74</v>
      </c>
      <c r="S18" s="36">
        <v>0</v>
      </c>
      <c r="T18" s="43">
        <v>6266.74</v>
      </c>
      <c r="U18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8" s="33" t="str">
        <f>IFERROR(IF(PurchaseList_Table[[#This Row],[Outstanding Amount]]="","",
   PurchaseList_Table[[#This Row],[ETD]] + PurchaseList_Table[[#This Row],[Credit Period]]
),"")</f>
        <v/>
      </c>
      <c r="W18" s="1" t="str" cm="1">
        <f t="array" aca="1" ref="W1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8" s="36"/>
      <c r="Y18" s="36"/>
      <c r="Z18" s="36"/>
      <c r="AA18" s="36"/>
      <c r="AB18" s="36"/>
      <c r="AC18" s="36"/>
      <c r="AD18" s="1" t="str">
        <f>IF(PurchaseList_Table[[#This Row],[ETA]]="","",TEXT(PurchaseList_Table[[#This Row],[ETA]],"MMM-YYYY"))</f>
        <v/>
      </c>
      <c r="AE18" s="1" t="str">
        <f>_xlfn.LET(_xlpm.x, TRIM(CLEAN(PurchaseList_Table[[#This Row],[Material]])), IF(_xlpm.x="", "", _xlpm.x))</f>
        <v>OFFCUT</v>
      </c>
      <c r="AF18" s="1" t="str">
        <f>IF(PurchaseList_Table[[#This Row],[ETA MONTH]]="", "Waiting for loading", PurchaseList_Table[[#This Row],[ETA MONTH]])</f>
        <v>Waiting for loading</v>
      </c>
      <c r="AG18" s="1" cm="1">
        <f t="array" ref="AG1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21.594999999999999</v>
      </c>
      <c r="AH1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19" spans="1:34" ht="31.5" customHeight="1" x14ac:dyDescent="0.25">
      <c r="A19" s="36" t="s">
        <v>143</v>
      </c>
      <c r="B19" s="36" t="s">
        <v>135</v>
      </c>
      <c r="C19" s="36" t="s">
        <v>163</v>
      </c>
      <c r="D19" s="46"/>
      <c r="E19" s="41"/>
      <c r="F19" s="60"/>
      <c r="G19" s="57" t="s">
        <v>164</v>
      </c>
      <c r="H19" s="36" t="s">
        <v>28</v>
      </c>
      <c r="I19" s="42">
        <v>22.72</v>
      </c>
      <c r="J19" s="1" t="str">
        <f>_xlfn.XLOOKUP(PurchaseList_Table[[#This Row],[BL No]],ResultTable[BL], ResultTable[Containers No.], "")</f>
        <v/>
      </c>
      <c r="K19" s="1" t="str">
        <f>_xlfn.XLOOKUP(PurchaseList_Table[[#This Row],[BL No]],ResultTable[BL], ResultTable[Container Type], "")</f>
        <v/>
      </c>
      <c r="L19" s="1" t="str">
        <f>_xlfn.XLOOKUP(PurchaseList_Table[[#This Row],[BL No]],ResultTable[BL], ResultTable[No. of Containers], "")</f>
        <v/>
      </c>
      <c r="M19" s="98">
        <f>IF(PurchaseList_Table[[#This Row],[ETA]]="", 2958465, VALUE(PurchaseList_Table[[#This Row],[ETA]]))</f>
        <v>2958465</v>
      </c>
      <c r="N19" s="33" t="str">
        <f>_xlfn.XLOOKUP(PurchaseList_Table[[#This Row],[BL No]],ResultTable[BL], ResultTable[ETD], "")</f>
        <v/>
      </c>
      <c r="O19" s="98" t="str">
        <f>_xlfn.XLOOKUP(PurchaseList_Table[[#This Row],[BL No]],ResultTable[BL], ResultTable[ETA], "")</f>
        <v/>
      </c>
      <c r="P19" s="51"/>
      <c r="Q19" s="43">
        <v>7889</v>
      </c>
      <c r="R19" s="43">
        <v>15678</v>
      </c>
      <c r="S19" s="36">
        <v>0</v>
      </c>
      <c r="T19" s="43">
        <v>7789</v>
      </c>
      <c r="U19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19" s="33" t="str">
        <f>IFERROR(IF(PurchaseList_Table[[#This Row],[Outstanding Amount]]="","",
   PurchaseList_Table[[#This Row],[ETD]] + PurchaseList_Table[[#This Row],[Credit Period]]
),"")</f>
        <v/>
      </c>
      <c r="W19" s="1" t="str" cm="1">
        <f t="array" aca="1" ref="W1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19" s="36"/>
      <c r="Y19" s="36"/>
      <c r="Z19" s="36"/>
      <c r="AA19" s="36"/>
      <c r="AB19" s="36"/>
      <c r="AC19" s="36"/>
      <c r="AD19" s="1" t="str">
        <f>IF(PurchaseList_Table[[#This Row],[ETA]]="","",TEXT(PurchaseList_Table[[#This Row],[ETA]],"MMM-YYYY"))</f>
        <v/>
      </c>
      <c r="AE19" s="1" t="str">
        <f>_xlfn.LET(_xlpm.x, TRIM(CLEAN(PurchaseList_Table[[#This Row],[Material]])), IF(_xlpm.x="", "", _xlpm.x))</f>
        <v>30 JUMBO + OFFCUTS</v>
      </c>
      <c r="AF19" s="1" t="str">
        <f>IF(PurchaseList_Table[[#This Row],[ETA MONTH]]="", "Waiting for loading", PurchaseList_Table[[#This Row],[ETA MONTH]])</f>
        <v>Waiting for loading</v>
      </c>
      <c r="AG19" s="1" cm="1">
        <f t="array" ref="AG1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22.72</v>
      </c>
      <c r="AH1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0" spans="1:34" ht="31.5" customHeight="1" x14ac:dyDescent="0.25">
      <c r="A20" s="36" t="s">
        <v>143</v>
      </c>
      <c r="B20" s="36" t="s">
        <v>165</v>
      </c>
      <c r="C20" s="36" t="s">
        <v>145</v>
      </c>
      <c r="D20" s="46"/>
      <c r="E20" s="41"/>
      <c r="F20" s="60"/>
      <c r="G20" s="57" t="s">
        <v>166</v>
      </c>
      <c r="H20" s="36" t="s">
        <v>19</v>
      </c>
      <c r="I20" s="42">
        <v>27.32</v>
      </c>
      <c r="J20" s="1" t="str">
        <f>_xlfn.XLOOKUP(PurchaseList_Table[[#This Row],[BL No]],ResultTable[BL], ResultTable[Containers No.], "")</f>
        <v/>
      </c>
      <c r="K20" s="1" t="str">
        <f>_xlfn.XLOOKUP(PurchaseList_Table[[#This Row],[BL No]],ResultTable[BL], ResultTable[Container Type], "")</f>
        <v/>
      </c>
      <c r="L20" s="1" t="str">
        <f>_xlfn.XLOOKUP(PurchaseList_Table[[#This Row],[BL No]],ResultTable[BL], ResultTable[No. of Containers], "")</f>
        <v/>
      </c>
      <c r="M20" s="98">
        <f>IF(PurchaseList_Table[[#This Row],[ETA]]="", 2958465, VALUE(PurchaseList_Table[[#This Row],[ETA]]))</f>
        <v>2958465</v>
      </c>
      <c r="N20" s="33" t="str">
        <f>_xlfn.XLOOKUP(PurchaseList_Table[[#This Row],[BL No]],ResultTable[BL], ResultTable[ETD], "")</f>
        <v/>
      </c>
      <c r="O20" s="98" t="str">
        <f>_xlfn.XLOOKUP(PurchaseList_Table[[#This Row],[BL No]],ResultTable[BL], ResultTable[ETA], "")</f>
        <v/>
      </c>
      <c r="P20" s="51"/>
      <c r="Q20" s="43">
        <v>3825</v>
      </c>
      <c r="R20" s="43">
        <v>13708.8</v>
      </c>
      <c r="S20" s="36">
        <v>0</v>
      </c>
      <c r="T20" s="43">
        <v>9883.7999999999993</v>
      </c>
      <c r="U20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0" s="33" t="str">
        <f>IFERROR(IF(PurchaseList_Table[[#This Row],[Outstanding Amount]]="","",
   PurchaseList_Table[[#This Row],[ETD]] + PurchaseList_Table[[#This Row],[Credit Period]]
),"")</f>
        <v/>
      </c>
      <c r="W20" s="1" t="str" cm="1">
        <f t="array" aca="1" ref="W2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20" s="36"/>
      <c r="Y20" s="36"/>
      <c r="Z20" s="36"/>
      <c r="AA20" s="36"/>
      <c r="AB20" s="36"/>
      <c r="AC20" s="36"/>
      <c r="AD20" s="1" t="str">
        <f>IF(PurchaseList_Table[[#This Row],[ETA]]="","",TEXT(PurchaseList_Table[[#This Row],[ETA]],"MMM-YYYY"))</f>
        <v/>
      </c>
      <c r="AE20" s="1" t="str">
        <f>_xlfn.LET(_xlpm.x, TRIM(CLEAN(PurchaseList_Table[[#This Row],[Material]])), IF(_xlpm.x="", "", _xlpm.x))</f>
        <v>REGULAR</v>
      </c>
      <c r="AF20" s="1" t="str">
        <f>IF(PurchaseList_Table[[#This Row],[ETA MONTH]]="", "Waiting for loading", PurchaseList_Table[[#This Row],[ETA MONTH]])</f>
        <v>Waiting for loading</v>
      </c>
      <c r="AG20" s="1" cm="1">
        <f t="array" ref="AG2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27.32</v>
      </c>
      <c r="AH2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1" spans="1:34" ht="31.5" customHeight="1" x14ac:dyDescent="0.25">
      <c r="A21" s="36" t="s">
        <v>143</v>
      </c>
      <c r="B21" s="36" t="s">
        <v>165</v>
      </c>
      <c r="C21" s="36" t="s">
        <v>145</v>
      </c>
      <c r="D21" s="46"/>
      <c r="E21" s="41"/>
      <c r="F21" s="60"/>
      <c r="G21" s="57" t="s">
        <v>167</v>
      </c>
      <c r="H21" s="36" t="s">
        <v>19</v>
      </c>
      <c r="I21" s="42">
        <v>27.68</v>
      </c>
      <c r="J21" s="1" t="str">
        <f>_xlfn.XLOOKUP(PurchaseList_Table[[#This Row],[BL No]],ResultTable[BL], ResultTable[Containers No.], "")</f>
        <v/>
      </c>
      <c r="K21" s="1" t="str">
        <f>_xlfn.XLOOKUP(PurchaseList_Table[[#This Row],[BL No]],ResultTable[BL], ResultTable[Container Type], "")</f>
        <v/>
      </c>
      <c r="L21" s="1" t="str">
        <f>_xlfn.XLOOKUP(PurchaseList_Table[[#This Row],[BL No]],ResultTable[BL], ResultTable[No. of Containers], "")</f>
        <v/>
      </c>
      <c r="M21" s="98">
        <f>IF(PurchaseList_Table[[#This Row],[ETA]]="", 2958465, VALUE(PurchaseList_Table[[#This Row],[ETA]]))</f>
        <v>2958465</v>
      </c>
      <c r="N21" s="33" t="str">
        <f>_xlfn.XLOOKUP(PurchaseList_Table[[#This Row],[BL No]],ResultTable[BL], ResultTable[ETD], "")</f>
        <v/>
      </c>
      <c r="O21" s="98" t="str">
        <f>_xlfn.XLOOKUP(PurchaseList_Table[[#This Row],[BL No]],ResultTable[BL], ResultTable[ETA], "")</f>
        <v/>
      </c>
      <c r="P21" s="51"/>
      <c r="Q21" s="43">
        <v>3825</v>
      </c>
      <c r="R21" s="43">
        <v>13912.8</v>
      </c>
      <c r="S21" s="36">
        <v>0</v>
      </c>
      <c r="T21" s="43">
        <v>10087.799999999999</v>
      </c>
      <c r="U21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1" s="33" t="str">
        <f>IFERROR(IF(PurchaseList_Table[[#This Row],[Outstanding Amount]]="","",
   PurchaseList_Table[[#This Row],[ETD]] + PurchaseList_Table[[#This Row],[Credit Period]]
),"")</f>
        <v/>
      </c>
      <c r="W21" s="1" t="str" cm="1">
        <f t="array" aca="1" ref="W2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21" s="36"/>
      <c r="Y21" s="36"/>
      <c r="Z21" s="36"/>
      <c r="AA21" s="36"/>
      <c r="AB21" s="36"/>
      <c r="AC21" s="36"/>
      <c r="AD21" s="1" t="str">
        <f>IF(PurchaseList_Table[[#This Row],[ETA]]="","",TEXT(PurchaseList_Table[[#This Row],[ETA]],"MMM-YYYY"))</f>
        <v/>
      </c>
      <c r="AE21" s="1" t="str">
        <f>_xlfn.LET(_xlpm.x, TRIM(CLEAN(PurchaseList_Table[[#This Row],[Material]])), IF(_xlpm.x="", "", _xlpm.x))</f>
        <v>REGULAR</v>
      </c>
      <c r="AF21" s="1" t="str">
        <f>IF(PurchaseList_Table[[#This Row],[ETA MONTH]]="", "Waiting for loading", PurchaseList_Table[[#This Row],[ETA MONTH]])</f>
        <v>Waiting for loading</v>
      </c>
      <c r="AG21" s="1" cm="1">
        <f t="array" ref="AG2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27.68</v>
      </c>
      <c r="AH2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2" spans="1:34" ht="27" customHeight="1" x14ac:dyDescent="0.25">
      <c r="A22" s="36" t="s">
        <v>143</v>
      </c>
      <c r="B22" s="36" t="s">
        <v>165</v>
      </c>
      <c r="C22" s="36" t="s">
        <v>146</v>
      </c>
      <c r="D22" s="46"/>
      <c r="E22" s="41"/>
      <c r="F22" s="60"/>
      <c r="G22" s="57" t="s">
        <v>168</v>
      </c>
      <c r="H22" s="36" t="s">
        <v>19</v>
      </c>
      <c r="I22" s="42">
        <v>27.8</v>
      </c>
      <c r="J22" s="1" t="str">
        <f>_xlfn.XLOOKUP(PurchaseList_Table[[#This Row],[BL No]],ResultTable[BL], ResultTable[Containers No.], "")</f>
        <v/>
      </c>
      <c r="K22" s="1" t="str">
        <f>_xlfn.XLOOKUP(PurchaseList_Table[[#This Row],[BL No]],ResultTable[BL], ResultTable[Container Type], "")</f>
        <v/>
      </c>
      <c r="L22" s="1" t="str">
        <f>_xlfn.XLOOKUP(PurchaseList_Table[[#This Row],[BL No]],ResultTable[BL], ResultTable[No. of Containers], "")</f>
        <v/>
      </c>
      <c r="M22" s="98">
        <f>IF(PurchaseList_Table[[#This Row],[ETA]]="", 2958465, VALUE(PurchaseList_Table[[#This Row],[ETA]]))</f>
        <v>2958465</v>
      </c>
      <c r="N22" s="33" t="str">
        <f>_xlfn.XLOOKUP(PurchaseList_Table[[#This Row],[BL No]],ResultTable[BL], ResultTable[ETD], "")</f>
        <v/>
      </c>
      <c r="O22" s="98" t="str">
        <f>_xlfn.XLOOKUP(PurchaseList_Table[[#This Row],[BL No]],ResultTable[BL], ResultTable[ETA], "")</f>
        <v/>
      </c>
      <c r="P22" s="51"/>
      <c r="Q22" s="43">
        <v>3825</v>
      </c>
      <c r="R22" s="43">
        <v>13953.6</v>
      </c>
      <c r="S22" s="36">
        <v>0</v>
      </c>
      <c r="T22" s="43">
        <v>10128.6</v>
      </c>
      <c r="U22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2" s="33" t="str">
        <f>IFERROR(IF(PurchaseList_Table[[#This Row],[Outstanding Amount]]="","",
   PurchaseList_Table[[#This Row],[ETD]] + PurchaseList_Table[[#This Row],[Credit Period]]
),"")</f>
        <v/>
      </c>
      <c r="W22" s="1" t="str" cm="1">
        <f t="array" aca="1" ref="W2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22" s="36"/>
      <c r="Y22" s="36"/>
      <c r="Z22" s="36"/>
      <c r="AA22" s="36"/>
      <c r="AB22" s="36"/>
      <c r="AC22" s="36"/>
      <c r="AD22" s="1" t="str">
        <f>IF(PurchaseList_Table[[#This Row],[ETA]]="","",TEXT(PurchaseList_Table[[#This Row],[ETA]],"MMM-YYYY"))</f>
        <v/>
      </c>
      <c r="AE22" s="1" t="str">
        <f>_xlfn.LET(_xlpm.x, TRIM(CLEAN(PurchaseList_Table[[#This Row],[Material]])), IF(_xlpm.x="", "", _xlpm.x))</f>
        <v>JUMBO</v>
      </c>
      <c r="AF22" s="1" t="str">
        <f>IF(PurchaseList_Table[[#This Row],[ETA MONTH]]="", "Waiting for loading", PurchaseList_Table[[#This Row],[ETA MONTH]])</f>
        <v>Waiting for loading</v>
      </c>
      <c r="AG22" s="1" cm="1">
        <f t="array" ref="AG2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27.8</v>
      </c>
      <c r="AH2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3" spans="1:34" ht="31.5" customHeight="1" x14ac:dyDescent="0.25">
      <c r="A23" s="36" t="s">
        <v>143</v>
      </c>
      <c r="B23" s="36" t="s">
        <v>165</v>
      </c>
      <c r="C23" s="36" t="s">
        <v>145</v>
      </c>
      <c r="D23" s="46"/>
      <c r="E23" s="41"/>
      <c r="F23" s="60"/>
      <c r="G23" s="57" t="s">
        <v>169</v>
      </c>
      <c r="H23" s="36" t="s">
        <v>19</v>
      </c>
      <c r="I23" s="42">
        <v>26</v>
      </c>
      <c r="J23" s="1" t="str">
        <f>_xlfn.XLOOKUP(PurchaseList_Table[[#This Row],[BL No]],ResultTable[BL], ResultTable[Containers No.], "")</f>
        <v/>
      </c>
      <c r="K23" s="1" t="str">
        <f>_xlfn.XLOOKUP(PurchaseList_Table[[#This Row],[BL No]],ResultTable[BL], ResultTable[Container Type], "")</f>
        <v/>
      </c>
      <c r="L23" s="1" t="str">
        <f>_xlfn.XLOOKUP(PurchaseList_Table[[#This Row],[BL No]],ResultTable[BL], ResultTable[No. of Containers], "")</f>
        <v/>
      </c>
      <c r="M23" s="98">
        <f>IF(PurchaseList_Table[[#This Row],[ETA]]="", 2958465, VALUE(PurchaseList_Table[[#This Row],[ETA]]))</f>
        <v>2958465</v>
      </c>
      <c r="N23" s="33" t="str">
        <f>_xlfn.XLOOKUP(PurchaseList_Table[[#This Row],[BL No]],ResultTable[BL], ResultTable[ETD], "")</f>
        <v/>
      </c>
      <c r="O23" s="98" t="str">
        <f>_xlfn.XLOOKUP(PurchaseList_Table[[#This Row],[BL No]],ResultTable[BL], ResultTable[ETA], "")</f>
        <v/>
      </c>
      <c r="P23" s="51"/>
      <c r="Q23" s="43">
        <v>3825</v>
      </c>
      <c r="R23" s="43">
        <v>13056</v>
      </c>
      <c r="S23" s="36">
        <v>0</v>
      </c>
      <c r="T23" s="43">
        <v>9231</v>
      </c>
      <c r="U23" s="44">
        <f>IF(PurchaseList_Table[[#This Row],[Total invoice Amount]]="","",
    ROUND(PurchaseList_Table[[#This Row],[Total invoice Amount]] - PurchaseList_Table[[#This Row],[Advance Paid]] - PurchaseList_Table[[#This Row],[Paid Balance amount]], 2)
)</f>
        <v>0</v>
      </c>
      <c r="V23" s="33" t="str">
        <f>IFERROR(IF(PurchaseList_Table[[#This Row],[Outstanding Amount]]="","",
   PurchaseList_Table[[#This Row],[ETD]] + PurchaseList_Table[[#This Row],[Credit Period]]
),"")</f>
        <v/>
      </c>
      <c r="W23" s="1" t="str" cm="1">
        <f t="array" aca="1" ref="W2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Total Invoice Clear, Waiting for BL</v>
      </c>
      <c r="X23" s="36"/>
      <c r="Y23" s="36"/>
      <c r="Z23" s="36"/>
      <c r="AA23" s="36"/>
      <c r="AB23" s="36"/>
      <c r="AC23" s="36"/>
      <c r="AD23" s="1" t="str">
        <f>IF(PurchaseList_Table[[#This Row],[ETA]]="","",TEXT(PurchaseList_Table[[#This Row],[ETA]],"MMM-YYYY"))</f>
        <v/>
      </c>
      <c r="AE23" s="1" t="str">
        <f>_xlfn.LET(_xlpm.x, TRIM(CLEAN(PurchaseList_Table[[#This Row],[Material]])), IF(_xlpm.x="", "", _xlpm.x))</f>
        <v>REGULAR</v>
      </c>
      <c r="AF23" s="1" t="str">
        <f>IF(PurchaseList_Table[[#This Row],[ETA MONTH]]="", "Waiting for loading", PurchaseList_Table[[#This Row],[ETA MONTH]])</f>
        <v>Waiting for loading</v>
      </c>
      <c r="AG23" s="1" cm="1">
        <f t="array" ref="AG2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26</v>
      </c>
      <c r="AH2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4" spans="1:34" ht="31.5" customHeight="1" x14ac:dyDescent="0.25">
      <c r="A24" s="36" t="s">
        <v>143</v>
      </c>
      <c r="B24" s="36" t="s">
        <v>148</v>
      </c>
      <c r="C24" s="36" t="s">
        <v>170</v>
      </c>
      <c r="D24" s="46"/>
      <c r="E24" s="41"/>
      <c r="F24" s="60"/>
      <c r="G24" s="57"/>
      <c r="H24" s="36"/>
      <c r="I24" s="42">
        <v>30</v>
      </c>
      <c r="J24" s="1" t="str">
        <f>_xlfn.XLOOKUP(PurchaseList_Table[[#This Row],[BL No]],ResultTable[BL], ResultTable[Containers No.], "")</f>
        <v/>
      </c>
      <c r="K24" s="1" t="str">
        <f>_xlfn.XLOOKUP(PurchaseList_Table[[#This Row],[BL No]],ResultTable[BL], ResultTable[Container Type], "")</f>
        <v/>
      </c>
      <c r="L24" s="1" t="str">
        <f>_xlfn.XLOOKUP(PurchaseList_Table[[#This Row],[BL No]],ResultTable[BL], ResultTable[No. of Containers], "")</f>
        <v/>
      </c>
      <c r="M24" s="98">
        <f>IF(PurchaseList_Table[[#This Row],[ETA]]="", 2958465, VALUE(PurchaseList_Table[[#This Row],[ETA]]))</f>
        <v>2958465</v>
      </c>
      <c r="N24" s="33" t="str">
        <f>_xlfn.XLOOKUP(PurchaseList_Table[[#This Row],[BL No]],ResultTable[BL], ResultTable[ETD], "")</f>
        <v/>
      </c>
      <c r="O24" s="98" t="str">
        <f>_xlfn.XLOOKUP(PurchaseList_Table[[#This Row],[BL No]],ResultTable[BL], ResultTable[ETA], "")</f>
        <v/>
      </c>
      <c r="P24" s="51"/>
      <c r="Q24" s="43"/>
      <c r="R24" s="43"/>
      <c r="S24" s="36">
        <v>0</v>
      </c>
      <c r="T24" s="43"/>
      <c r="U24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4" s="33" t="str">
        <f>IFERROR(IF(PurchaseList_Table[[#This Row],[Outstanding Amount]]="","",
   PurchaseList_Table[[#This Row],[ETD]] + PurchaseList_Table[[#This Row],[Credit Period]]
),"")</f>
        <v/>
      </c>
      <c r="W24" s="1" t="str" cm="1">
        <f t="array" aca="1" ref="W2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Contract Signed</v>
      </c>
      <c r="X24" s="36"/>
      <c r="Y24" s="36"/>
      <c r="Z24" s="36"/>
      <c r="AA24" s="36"/>
      <c r="AB24" s="36"/>
      <c r="AC24" s="36"/>
      <c r="AD24" s="1" t="str">
        <f>IF(PurchaseList_Table[[#This Row],[ETA]]="","",TEXT(PurchaseList_Table[[#This Row],[ETA]],"MMM-YYYY"))</f>
        <v/>
      </c>
      <c r="AE24" s="1" t="str">
        <f>_xlfn.LET(_xlpm.x, TRIM(CLEAN(PurchaseList_Table[[#This Row],[Material]])), IF(_xlpm.x="", "", _xlpm.x))</f>
        <v>JUMBO 23 + 27</v>
      </c>
      <c r="AF24" s="1" t="str">
        <f>IF(PurchaseList_Table[[#This Row],[ETA MONTH]]="", "Waiting for loading", PurchaseList_Table[[#This Row],[ETA MONTH]])</f>
        <v>Waiting for loading</v>
      </c>
      <c r="AG24" s="1" cm="1">
        <f t="array" ref="AG2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30</v>
      </c>
      <c r="AH2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5" spans="1:34" ht="31.5" customHeight="1" x14ac:dyDescent="0.25">
      <c r="A25" s="36" t="s">
        <v>143</v>
      </c>
      <c r="B25" s="36" t="s">
        <v>135</v>
      </c>
      <c r="C25" s="36" t="s">
        <v>171</v>
      </c>
      <c r="D25" s="46">
        <v>46013</v>
      </c>
      <c r="E25" s="41" t="s">
        <v>172</v>
      </c>
      <c r="F25" s="36"/>
      <c r="G25" s="41" t="s">
        <v>173</v>
      </c>
      <c r="H25" s="36" t="s">
        <v>28</v>
      </c>
      <c r="I25" s="42">
        <v>23.765999999999998</v>
      </c>
      <c r="J25" s="1" t="str">
        <f>_xlfn.XLOOKUP(PurchaseList_Table[[#This Row],[BL No]],ResultTable[BL], ResultTable[Containers No.], "")</f>
        <v/>
      </c>
      <c r="K25" s="1" t="str">
        <f>_xlfn.XLOOKUP(PurchaseList_Table[[#This Row],[BL No]],ResultTable[BL], ResultTable[Container Type], "")</f>
        <v/>
      </c>
      <c r="L25" s="1" t="str">
        <f>_xlfn.XLOOKUP(PurchaseList_Table[[#This Row],[BL No]],ResultTable[BL], ResultTable[No. of Containers], "")</f>
        <v/>
      </c>
      <c r="M25" s="98">
        <f>IF(PurchaseList_Table[[#This Row],[ETA]]="", 2958465, VALUE(PurchaseList_Table[[#This Row],[ETA]]))</f>
        <v>2958465</v>
      </c>
      <c r="N25" s="33" t="str">
        <f>_xlfn.XLOOKUP(PurchaseList_Table[[#This Row],[BL No]],ResultTable[BL], ResultTable[ETD], "")</f>
        <v/>
      </c>
      <c r="O25" s="98" t="str">
        <f>_xlfn.XLOOKUP(PurchaseList_Table[[#This Row],[BL No]],ResultTable[BL], ResultTable[ETA], "")</f>
        <v/>
      </c>
      <c r="P25" s="51"/>
      <c r="Q25" s="43"/>
      <c r="R25" s="43"/>
      <c r="S25" s="36">
        <v>0</v>
      </c>
      <c r="T25" s="43"/>
      <c r="U25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5" s="33" t="str">
        <f>IFERROR(IF(PurchaseList_Table[[#This Row],[Outstanding Amount]]="","",
   PurchaseList_Table[[#This Row],[ETD]] + PurchaseList_Table[[#This Row],[Credit Period]]
),"")</f>
        <v/>
      </c>
      <c r="W25" s="1" t="str" cm="1">
        <f t="array" aca="1" ref="W2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Contract Signed</v>
      </c>
      <c r="X25" s="36"/>
      <c r="Y25" s="36"/>
      <c r="Z25" s="36"/>
      <c r="AA25" s="36"/>
      <c r="AB25" s="36"/>
      <c r="AC25" s="36"/>
      <c r="AD25" s="1" t="str">
        <f>IF(PurchaseList_Table[[#This Row],[ETA]]="","",TEXT(PurchaseList_Table[[#This Row],[ETA]],"MMM-YYYY"))</f>
        <v/>
      </c>
      <c r="AE25" s="1" t="str">
        <f>_xlfn.LET(_xlpm.x, TRIM(CLEAN(PurchaseList_Table[[#This Row],[Material]])), IF(_xlpm.x="", "", _xlpm.x))</f>
        <v>23/27/30 PRIME + OFFCUTS</v>
      </c>
      <c r="AF25" s="1" t="str">
        <f>IF(PurchaseList_Table[[#This Row],[ETA MONTH]]="", "Waiting for loading", PurchaseList_Table[[#This Row],[ETA MONTH]])</f>
        <v>Waiting for loading</v>
      </c>
      <c r="AG25" s="1" cm="1">
        <f t="array" ref="AG2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23.765999999999998</v>
      </c>
      <c r="AH2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6" spans="1:34" ht="31.5" customHeight="1" x14ac:dyDescent="0.25">
      <c r="A26" s="36" t="s">
        <v>143</v>
      </c>
      <c r="B26" s="36" t="s">
        <v>135</v>
      </c>
      <c r="C26" s="36" t="s">
        <v>174</v>
      </c>
      <c r="D26" s="46"/>
      <c r="E26" s="41"/>
      <c r="F26" s="60"/>
      <c r="G26" s="41"/>
      <c r="H26" s="36"/>
      <c r="I26" s="42">
        <v>160</v>
      </c>
      <c r="J26" s="1" t="str">
        <f>_xlfn.XLOOKUP(PurchaseList_Table[[#This Row],[BL No]],ResultTable[BL], ResultTable[Containers No.], "")</f>
        <v/>
      </c>
      <c r="K26" s="1" t="str">
        <f>_xlfn.XLOOKUP(PurchaseList_Table[[#This Row],[BL No]],ResultTable[BL], ResultTable[Container Type], "")</f>
        <v/>
      </c>
      <c r="L26" s="1" t="str">
        <f>_xlfn.XLOOKUP(PurchaseList_Table[[#This Row],[BL No]],ResultTable[BL], ResultTable[No. of Containers], "")</f>
        <v/>
      </c>
      <c r="M26" s="98">
        <f>IF(PurchaseList_Table[[#This Row],[ETA]]="", 2958465, VALUE(PurchaseList_Table[[#This Row],[ETA]]))</f>
        <v>2958465</v>
      </c>
      <c r="N26" s="33" t="str">
        <f>_xlfn.XLOOKUP(PurchaseList_Table[[#This Row],[BL No]],ResultTable[BL], ResultTable[ETD], "")</f>
        <v/>
      </c>
      <c r="O26" s="98" t="str">
        <f>_xlfn.XLOOKUP(PurchaseList_Table[[#This Row],[BL No]],ResultTable[BL], ResultTable[ETA], "")</f>
        <v/>
      </c>
      <c r="P26" s="51" t="str">
        <f>IF(AND(PurchaseList_Table[[#This Row],[ETA]]&lt;&gt;"",PurchaseList_Table[[#This Row],[ETD]]&lt;&gt;""),PurchaseList_Table[[#This Row],[ETA]]-PurchaseList_Table[[#This Row],[ETD]],"")</f>
        <v/>
      </c>
      <c r="Q26" s="43"/>
      <c r="R26" s="43"/>
      <c r="S26" s="36">
        <v>0</v>
      </c>
      <c r="T26" s="43"/>
      <c r="U26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6" s="33" t="str">
        <f>IFERROR(IF(PurchaseList_Table[[#This Row],[Outstanding Amount]]="","",
   PurchaseList_Table[[#This Row],[ETD]] + PurchaseList_Table[[#This Row],[Credit Period]]
),"")</f>
        <v/>
      </c>
      <c r="W26" s="1" t="str" cm="1">
        <f t="array" aca="1" ref="W2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Contract Signed</v>
      </c>
      <c r="X26" s="36"/>
      <c r="Y26" s="36"/>
      <c r="Z26" s="36"/>
      <c r="AA26" s="36"/>
      <c r="AB26" s="36"/>
      <c r="AC26" s="36"/>
      <c r="AD26" s="1" t="str">
        <f>IF(PurchaseList_Table[[#This Row],[ETA]]="","",TEXT(PurchaseList_Table[[#This Row],[ETA]],"MMM-YYYY"))</f>
        <v/>
      </c>
      <c r="AE26" s="1" t="str">
        <f>_xlfn.LET(_xlpm.x, TRIM(CLEAN(PurchaseList_Table[[#This Row],[Material]])), IF(_xlpm.x="", "", _xlpm.x))</f>
        <v>30 Jumbo</v>
      </c>
      <c r="AF26" s="1" t="str">
        <f>IF(PurchaseList_Table[[#This Row],[ETA MONTH]]="", "Waiting for loading", PurchaseList_Table[[#This Row],[ETA MONTH]])</f>
        <v>Waiting for loading</v>
      </c>
      <c r="AG26" s="1" cm="1">
        <f t="array" ref="AG2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160</v>
      </c>
      <c r="AH2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7" spans="1:34" ht="31.5" customHeight="1" x14ac:dyDescent="0.25">
      <c r="A27" s="36" t="s">
        <v>143</v>
      </c>
      <c r="B27" s="36" t="s">
        <v>135</v>
      </c>
      <c r="C27" s="36" t="s">
        <v>175</v>
      </c>
      <c r="D27" s="46"/>
      <c r="E27" s="41"/>
      <c r="F27" s="60"/>
      <c r="G27" s="41"/>
      <c r="H27" s="36"/>
      <c r="I27" s="42">
        <v>50</v>
      </c>
      <c r="J27" s="1" t="str">
        <f>_xlfn.XLOOKUP(PurchaseList_Table[[#This Row],[BL No]],ResultTable[BL], ResultTable[Containers No.], "")</f>
        <v/>
      </c>
      <c r="K27" s="1" t="str">
        <f>_xlfn.XLOOKUP(PurchaseList_Table[[#This Row],[BL No]],ResultTable[BL], ResultTable[Container Type], "")</f>
        <v/>
      </c>
      <c r="L27" s="1" t="str">
        <f>_xlfn.XLOOKUP(PurchaseList_Table[[#This Row],[BL No]],ResultTable[BL], ResultTable[No. of Containers], "")</f>
        <v/>
      </c>
      <c r="M27" s="98">
        <f>IF(PurchaseList_Table[[#This Row],[ETA]]="", 2958465, VALUE(PurchaseList_Table[[#This Row],[ETA]]))</f>
        <v>2958465</v>
      </c>
      <c r="N27" s="33" t="str">
        <f>_xlfn.XLOOKUP(PurchaseList_Table[[#This Row],[BL No]],ResultTable[BL], ResultTable[ETD], "")</f>
        <v/>
      </c>
      <c r="O27" s="98" t="str">
        <f>_xlfn.XLOOKUP(PurchaseList_Table[[#This Row],[BL No]],ResultTable[BL], ResultTable[ETA], "")</f>
        <v/>
      </c>
      <c r="P27" s="51" t="str">
        <f>IF(AND(PurchaseList_Table[[#This Row],[ETA]]&lt;&gt;"",PurchaseList_Table[[#This Row],[ETD]]&lt;&gt;""),PurchaseList_Table[[#This Row],[ETA]]-PurchaseList_Table[[#This Row],[ETD]],"")</f>
        <v/>
      </c>
      <c r="Q27" s="43"/>
      <c r="R27" s="43"/>
      <c r="S27" s="36">
        <v>0</v>
      </c>
      <c r="T27" s="43"/>
      <c r="U27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7" s="33" t="str">
        <f>IFERROR(IF(PurchaseList_Table[[#This Row],[Outstanding Amount]]="","",
   PurchaseList_Table[[#This Row],[ETD]] + PurchaseList_Table[[#This Row],[Credit Period]]
),"")</f>
        <v/>
      </c>
      <c r="W27" s="1" t="str" cm="1">
        <f t="array" aca="1" ref="W2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Contract Signed</v>
      </c>
      <c r="X27" s="36"/>
      <c r="Y27" s="36"/>
      <c r="Z27" s="36"/>
      <c r="AA27" s="36"/>
      <c r="AB27" s="36"/>
      <c r="AC27" s="36"/>
      <c r="AD27" s="1" t="str">
        <f>IF(PurchaseList_Table[[#This Row],[ETA]]="","",TEXT(PurchaseList_Table[[#This Row],[ETA]],"MMM-YYYY"))</f>
        <v/>
      </c>
      <c r="AE27" s="1" t="str">
        <f>_xlfn.LET(_xlpm.x, TRIM(CLEAN(PurchaseList_Table[[#This Row],[Material]])), IF(_xlpm.x="", "", _xlpm.x))</f>
        <v>30 jumbo gapping</v>
      </c>
      <c r="AF27" s="1" t="str">
        <f>IF(PurchaseList_Table[[#This Row],[ETA MONTH]]="", "Waiting for loading", PurchaseList_Table[[#This Row],[ETA MONTH]])</f>
        <v>Waiting for loading</v>
      </c>
      <c r="AG27" s="1" cm="1">
        <f t="array" ref="AG2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50</v>
      </c>
      <c r="AH2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8" spans="1:34" ht="31.5" customHeight="1" x14ac:dyDescent="0.25">
      <c r="A28" s="36" t="s">
        <v>143</v>
      </c>
      <c r="B28" s="36" t="s">
        <v>135</v>
      </c>
      <c r="C28" s="36" t="s">
        <v>176</v>
      </c>
      <c r="D28" s="46"/>
      <c r="E28" s="41"/>
      <c r="F28" s="60"/>
      <c r="G28" s="41"/>
      <c r="H28" s="36"/>
      <c r="I28" s="42">
        <v>34</v>
      </c>
      <c r="J28" s="1" t="str">
        <f>_xlfn.XLOOKUP(PurchaseList_Table[[#This Row],[BL No]],ResultTable[BL], ResultTable[Containers No.], "")</f>
        <v/>
      </c>
      <c r="K28" s="1" t="str">
        <f>_xlfn.XLOOKUP(PurchaseList_Table[[#This Row],[BL No]],ResultTable[BL], ResultTable[Container Type], "")</f>
        <v/>
      </c>
      <c r="L28" s="1" t="str">
        <f>_xlfn.XLOOKUP(PurchaseList_Table[[#This Row],[BL No]],ResultTable[BL], ResultTable[No. of Containers], "")</f>
        <v/>
      </c>
      <c r="M28" s="98">
        <f>IF(PurchaseList_Table[[#This Row],[ETA]]="", 2958465, VALUE(PurchaseList_Table[[#This Row],[ETA]]))</f>
        <v>2958465</v>
      </c>
      <c r="N28" s="33" t="str">
        <f>_xlfn.XLOOKUP(PurchaseList_Table[[#This Row],[BL No]],ResultTable[BL], ResultTable[ETD], "")</f>
        <v/>
      </c>
      <c r="O28" s="98" t="str">
        <f>_xlfn.XLOOKUP(PurchaseList_Table[[#This Row],[BL No]],ResultTable[BL], ResultTable[ETA], "")</f>
        <v/>
      </c>
      <c r="P28" s="51" t="str">
        <f>IF(AND(PurchaseList_Table[[#This Row],[ETA]]&lt;&gt;"",PurchaseList_Table[[#This Row],[ETD]]&lt;&gt;""),PurchaseList_Table[[#This Row],[ETA]]-PurchaseList_Table[[#This Row],[ETD]],"")</f>
        <v/>
      </c>
      <c r="Q28" s="43"/>
      <c r="R28" s="43"/>
      <c r="S28" s="36">
        <v>0</v>
      </c>
      <c r="T28" s="43"/>
      <c r="U28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8" s="33" t="str">
        <f>IFERROR(IF(PurchaseList_Table[[#This Row],[Outstanding Amount]]="","",
   PurchaseList_Table[[#This Row],[ETD]] + PurchaseList_Table[[#This Row],[Credit Period]]
),"")</f>
        <v/>
      </c>
      <c r="W28" s="1" t="str" cm="1">
        <f t="array" aca="1" ref="W2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>Contract Signed</v>
      </c>
      <c r="X28" s="36"/>
      <c r="Y28" s="36"/>
      <c r="Z28" s="36"/>
      <c r="AA28" s="36"/>
      <c r="AB28" s="36"/>
      <c r="AC28" s="36"/>
      <c r="AD28" s="1" t="str">
        <f>IF(PurchaseList_Table[[#This Row],[ETA]]="","",TEXT(PurchaseList_Table[[#This Row],[ETA]],"MMM-YYYY"))</f>
        <v/>
      </c>
      <c r="AE28" s="1" t="str">
        <f>_xlfn.LET(_xlpm.x, TRIM(CLEAN(PurchaseList_Table[[#This Row],[Material]])), IF(_xlpm.x="", "", _xlpm.x))</f>
        <v>offcuts</v>
      </c>
      <c r="AF28" s="1" t="str">
        <f>IF(PurchaseList_Table[[#This Row],[ETA MONTH]]="", "Waiting for loading", PurchaseList_Table[[#This Row],[ETA MONTH]])</f>
        <v>Waiting for loading</v>
      </c>
      <c r="AG28" s="1" cm="1">
        <f t="array" ref="AG2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34</v>
      </c>
      <c r="AH2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29" spans="1:34" ht="31.5" customHeight="1" x14ac:dyDescent="0.25">
      <c r="A29" s="36"/>
      <c r="B29" s="36"/>
      <c r="C29" s="36"/>
      <c r="D29" s="46"/>
      <c r="E29" s="41"/>
      <c r="F29" s="60"/>
      <c r="G29" s="41"/>
      <c r="H29" s="36"/>
      <c r="I29" s="42"/>
      <c r="J29" s="1" t="str">
        <f>_xlfn.XLOOKUP(PurchaseList_Table[[#This Row],[BL No]],ResultTable[BL], ResultTable[Containers No.], "")</f>
        <v/>
      </c>
      <c r="K29" s="1" t="str">
        <f>_xlfn.XLOOKUP(PurchaseList_Table[[#This Row],[BL No]],ResultTable[BL], ResultTable[Container Type], "")</f>
        <v/>
      </c>
      <c r="L29" s="1" t="str">
        <f>_xlfn.XLOOKUP(PurchaseList_Table[[#This Row],[BL No]],ResultTable[BL], ResultTable[No. of Containers], "")</f>
        <v/>
      </c>
      <c r="M29" s="98">
        <f>IF(PurchaseList_Table[[#This Row],[ETA]]="", 2958465, VALUE(PurchaseList_Table[[#This Row],[ETA]]))</f>
        <v>2958465</v>
      </c>
      <c r="N29" s="33" t="str">
        <f>_xlfn.XLOOKUP(PurchaseList_Table[[#This Row],[BL No]],ResultTable[BL], ResultTable[ETD], "")</f>
        <v/>
      </c>
      <c r="O29" s="98" t="str">
        <f>_xlfn.XLOOKUP(PurchaseList_Table[[#This Row],[BL No]],ResultTable[BL], ResultTable[ETA], "")</f>
        <v/>
      </c>
      <c r="P29" s="51" t="str">
        <f>IF(AND(PurchaseList_Table[[#This Row],[ETA]]&lt;&gt;"",PurchaseList_Table[[#This Row],[ETD]]&lt;&gt;""),PurchaseList_Table[[#This Row],[ETA]]-PurchaseList_Table[[#This Row],[ETD]],"")</f>
        <v/>
      </c>
      <c r="Q29" s="43"/>
      <c r="R29" s="43"/>
      <c r="S29" s="36">
        <v>0</v>
      </c>
      <c r="T29" s="43"/>
      <c r="U29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29" s="33" t="str">
        <f>IFERROR(IF(PurchaseList_Table[[#This Row],[Outstanding Amount]]="","",
   PurchaseList_Table[[#This Row],[ETD]] + PurchaseList_Table[[#This Row],[Credit Period]]
),"")</f>
        <v/>
      </c>
      <c r="W29" s="1" t="str" cm="1">
        <f t="array" aca="1" ref="W2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29" s="36"/>
      <c r="Y29" s="36"/>
      <c r="Z29" s="36"/>
      <c r="AA29" s="36"/>
      <c r="AB29" s="36"/>
      <c r="AC29" s="36"/>
      <c r="AD29" s="1" t="str">
        <f>IF(PurchaseList_Table[[#This Row],[ETA]]="","",TEXT(PurchaseList_Table[[#This Row],[ETA]],"MMM-YYYY"))</f>
        <v/>
      </c>
      <c r="AE29" s="1" t="str">
        <f>_xlfn.LET(_xlpm.x, TRIM(CLEAN(PurchaseList_Table[[#This Row],[Material]])), IF(_xlpm.x="", "", _xlpm.x))</f>
        <v/>
      </c>
      <c r="AF29" s="1" t="str">
        <f>IF(PurchaseList_Table[[#This Row],[ETA MONTH]]="", "Waiting for loading", PurchaseList_Table[[#This Row],[ETA MONTH]])</f>
        <v>Waiting for loading</v>
      </c>
      <c r="AG29" s="1" cm="1">
        <f t="array" ref="AG2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2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0" spans="1:34" ht="31.5" customHeight="1" x14ac:dyDescent="0.25">
      <c r="A30" s="36"/>
      <c r="B30" s="36"/>
      <c r="C30" s="36"/>
      <c r="D30" s="46"/>
      <c r="E30" s="41"/>
      <c r="F30" s="60"/>
      <c r="G30" s="41"/>
      <c r="H30" s="36"/>
      <c r="I30" s="42"/>
      <c r="J30" s="1" t="str">
        <f>_xlfn.XLOOKUP(PurchaseList_Table[[#This Row],[BL No]],ResultTable[BL], ResultTable[Containers No.], "")</f>
        <v/>
      </c>
      <c r="K30" s="1" t="str">
        <f>_xlfn.XLOOKUP(PurchaseList_Table[[#This Row],[BL No]],ResultTable[BL], ResultTable[Container Type], "")</f>
        <v/>
      </c>
      <c r="L30" s="1" t="str">
        <f>_xlfn.XLOOKUP(PurchaseList_Table[[#This Row],[BL No]],ResultTable[BL], ResultTable[No. of Containers], "")</f>
        <v/>
      </c>
      <c r="M30" s="98">
        <f>IF(PurchaseList_Table[[#This Row],[ETA]]="", 2958465, VALUE(PurchaseList_Table[[#This Row],[ETA]]))</f>
        <v>2958465</v>
      </c>
      <c r="N30" s="33" t="str">
        <f>_xlfn.XLOOKUP(PurchaseList_Table[[#This Row],[BL No]],ResultTable[BL], ResultTable[ETD], "")</f>
        <v/>
      </c>
      <c r="O30" s="98" t="str">
        <f>_xlfn.XLOOKUP(PurchaseList_Table[[#This Row],[BL No]],ResultTable[BL], ResultTable[ETA], "")</f>
        <v/>
      </c>
      <c r="P30" s="51" t="str">
        <f>IF(AND(PurchaseList_Table[[#This Row],[ETA]]&lt;&gt;"",PurchaseList_Table[[#This Row],[ETD]]&lt;&gt;""),PurchaseList_Table[[#This Row],[ETA]]-PurchaseList_Table[[#This Row],[ETD]],"")</f>
        <v/>
      </c>
      <c r="Q30" s="43"/>
      <c r="R30" s="43"/>
      <c r="S30" s="36">
        <v>0</v>
      </c>
      <c r="T30" s="43"/>
      <c r="U30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0" s="33" t="str">
        <f>IFERROR(IF(PurchaseList_Table[[#This Row],[Outstanding Amount]]="","",
   PurchaseList_Table[[#This Row],[ETD]] + PurchaseList_Table[[#This Row],[Credit Period]]
),"")</f>
        <v/>
      </c>
      <c r="W30" s="1" t="str" cm="1">
        <f t="array" aca="1" ref="W3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0" s="36"/>
      <c r="Y30" s="36"/>
      <c r="Z30" s="36"/>
      <c r="AA30" s="36"/>
      <c r="AB30" s="36"/>
      <c r="AC30" s="36"/>
      <c r="AD30" s="1" t="str">
        <f>IF(PurchaseList_Table[[#This Row],[ETA]]="","",TEXT(PurchaseList_Table[[#This Row],[ETA]],"MMM-YYYY"))</f>
        <v/>
      </c>
      <c r="AE30" s="1" t="str">
        <f>_xlfn.LET(_xlpm.x, TRIM(CLEAN(PurchaseList_Table[[#This Row],[Material]])), IF(_xlpm.x="", "", _xlpm.x))</f>
        <v/>
      </c>
      <c r="AF30" s="1" t="str">
        <f>IF(PurchaseList_Table[[#This Row],[ETA MONTH]]="", "Waiting for loading", PurchaseList_Table[[#This Row],[ETA MONTH]])</f>
        <v>Waiting for loading</v>
      </c>
      <c r="AG30" s="1" cm="1">
        <f t="array" ref="AG3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1" spans="1:34" ht="31.5" customHeight="1" x14ac:dyDescent="0.25">
      <c r="A31" s="36"/>
      <c r="B31" s="36"/>
      <c r="C31" s="36"/>
      <c r="D31" s="46"/>
      <c r="E31" s="41"/>
      <c r="F31" s="60"/>
      <c r="G31" s="41"/>
      <c r="H31" s="36"/>
      <c r="I31" s="42"/>
      <c r="J31" s="1" t="str">
        <f>_xlfn.XLOOKUP(PurchaseList_Table[[#This Row],[BL No]],ResultTable[BL], ResultTable[Containers No.], "")</f>
        <v/>
      </c>
      <c r="K31" s="1" t="str">
        <f>_xlfn.XLOOKUP(PurchaseList_Table[[#This Row],[BL No]],ResultTable[BL], ResultTable[Container Type], "")</f>
        <v/>
      </c>
      <c r="L31" s="1" t="str">
        <f>_xlfn.XLOOKUP(PurchaseList_Table[[#This Row],[BL No]],ResultTable[BL], ResultTable[No. of Containers], "")</f>
        <v/>
      </c>
      <c r="M31" s="98">
        <f>IF(PurchaseList_Table[[#This Row],[ETA]]="", 2958465, VALUE(PurchaseList_Table[[#This Row],[ETA]]))</f>
        <v>2958465</v>
      </c>
      <c r="N31" s="33" t="str">
        <f>_xlfn.XLOOKUP(PurchaseList_Table[[#This Row],[BL No]],ResultTable[BL], ResultTable[ETD], "")</f>
        <v/>
      </c>
      <c r="O31" s="98" t="str">
        <f>_xlfn.XLOOKUP(PurchaseList_Table[[#This Row],[BL No]],ResultTable[BL], ResultTable[ETA], "")</f>
        <v/>
      </c>
      <c r="P31" s="51" t="str">
        <f>IF(AND(PurchaseList_Table[[#This Row],[ETA]]&lt;&gt;"",PurchaseList_Table[[#This Row],[ETD]]&lt;&gt;""),PurchaseList_Table[[#This Row],[ETA]]-PurchaseList_Table[[#This Row],[ETD]],"")</f>
        <v/>
      </c>
      <c r="Q31" s="43"/>
      <c r="R31" s="43"/>
      <c r="S31" s="36">
        <v>0</v>
      </c>
      <c r="T31" s="43"/>
      <c r="U31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1" s="33" t="str">
        <f>IFERROR(IF(PurchaseList_Table[[#This Row],[Outstanding Amount]]="","",
   PurchaseList_Table[[#This Row],[ETD]] + PurchaseList_Table[[#This Row],[Credit Period]]
),"")</f>
        <v/>
      </c>
      <c r="W31" s="1" t="str" cm="1">
        <f t="array" aca="1" ref="W3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1" s="36"/>
      <c r="Y31" s="36"/>
      <c r="Z31" s="36"/>
      <c r="AA31" s="36"/>
      <c r="AB31" s="36"/>
      <c r="AC31" s="36"/>
      <c r="AD31" s="1" t="str">
        <f>IF(PurchaseList_Table[[#This Row],[ETA]]="","",TEXT(PurchaseList_Table[[#This Row],[ETA]],"MMM-YYYY"))</f>
        <v/>
      </c>
      <c r="AE31" s="1" t="str">
        <f>_xlfn.LET(_xlpm.x, TRIM(CLEAN(PurchaseList_Table[[#This Row],[Material]])), IF(_xlpm.x="", "", _xlpm.x))</f>
        <v/>
      </c>
      <c r="AF31" s="1" t="str">
        <f>IF(PurchaseList_Table[[#This Row],[ETA MONTH]]="", "Waiting for loading", PurchaseList_Table[[#This Row],[ETA MONTH]])</f>
        <v>Waiting for loading</v>
      </c>
      <c r="AG31" s="1" cm="1">
        <f t="array" ref="AG3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2" spans="1:34" ht="31.5" customHeight="1" x14ac:dyDescent="0.25">
      <c r="A32" s="36"/>
      <c r="B32" s="36"/>
      <c r="C32" s="36"/>
      <c r="D32" s="46"/>
      <c r="E32" s="41"/>
      <c r="F32" s="60"/>
      <c r="G32" s="41"/>
      <c r="H32" s="36"/>
      <c r="I32" s="42"/>
      <c r="J32" s="1" t="str">
        <f>_xlfn.XLOOKUP(PurchaseList_Table[[#This Row],[BL No]],ResultTable[BL], ResultTable[Containers No.], "")</f>
        <v/>
      </c>
      <c r="K32" s="1" t="str">
        <f>_xlfn.XLOOKUP(PurchaseList_Table[[#This Row],[BL No]],ResultTable[BL], ResultTable[Container Type], "")</f>
        <v/>
      </c>
      <c r="L32" s="1" t="str">
        <f>_xlfn.XLOOKUP(PurchaseList_Table[[#This Row],[BL No]],ResultTable[BL], ResultTable[No. of Containers], "")</f>
        <v/>
      </c>
      <c r="M32" s="98">
        <f>IF(PurchaseList_Table[[#This Row],[ETA]]="", 2958465, VALUE(PurchaseList_Table[[#This Row],[ETA]]))</f>
        <v>2958465</v>
      </c>
      <c r="N32" s="33" t="str">
        <f>_xlfn.XLOOKUP(PurchaseList_Table[[#This Row],[BL No]],ResultTable[BL], ResultTable[ETD], "")</f>
        <v/>
      </c>
      <c r="O32" s="98" t="str">
        <f>_xlfn.XLOOKUP(PurchaseList_Table[[#This Row],[BL No]],ResultTable[BL], ResultTable[ETA], "")</f>
        <v/>
      </c>
      <c r="P32" s="51" t="str">
        <f>IF(AND(PurchaseList_Table[[#This Row],[ETA]]&lt;&gt;"",PurchaseList_Table[[#This Row],[ETD]]&lt;&gt;""),PurchaseList_Table[[#This Row],[ETA]]-PurchaseList_Table[[#This Row],[ETD]],"")</f>
        <v/>
      </c>
      <c r="Q32" s="43"/>
      <c r="R32" s="43"/>
      <c r="S32" s="36">
        <v>0</v>
      </c>
      <c r="T32" s="43"/>
      <c r="U32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2" s="33" t="str">
        <f>IFERROR(IF(PurchaseList_Table[[#This Row],[Outstanding Amount]]="","",
   PurchaseList_Table[[#This Row],[ETD]] + PurchaseList_Table[[#This Row],[Credit Period]]
),"")</f>
        <v/>
      </c>
      <c r="W32" s="1" t="str" cm="1">
        <f t="array" aca="1" ref="W32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2" s="36"/>
      <c r="Y32" s="36"/>
      <c r="Z32" s="36"/>
      <c r="AA32" s="36"/>
      <c r="AB32" s="36"/>
      <c r="AC32" s="36"/>
      <c r="AD32" s="1" t="str">
        <f>IF(PurchaseList_Table[[#This Row],[ETA]]="","",TEXT(PurchaseList_Table[[#This Row],[ETA]],"MMM-YYYY"))</f>
        <v/>
      </c>
      <c r="AE32" s="1" t="str">
        <f>_xlfn.LET(_xlpm.x, TRIM(CLEAN(PurchaseList_Table[[#This Row],[Material]])), IF(_xlpm.x="", "", _xlpm.x))</f>
        <v/>
      </c>
      <c r="AF32" s="1" t="str">
        <f>IF(PurchaseList_Table[[#This Row],[ETA MONTH]]="", "Waiting for loading", PurchaseList_Table[[#This Row],[ETA MONTH]])</f>
        <v>Waiting for loading</v>
      </c>
      <c r="AG32" s="1" cm="1">
        <f t="array" ref="AG32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2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3" spans="1:34" ht="31.5" customHeight="1" x14ac:dyDescent="0.25">
      <c r="A33" s="36"/>
      <c r="B33" s="36"/>
      <c r="C33" s="36"/>
      <c r="D33" s="46"/>
      <c r="E33" s="41"/>
      <c r="F33" s="60"/>
      <c r="G33" s="41"/>
      <c r="H33" s="36"/>
      <c r="I33" s="42"/>
      <c r="J33" s="1" t="str">
        <f>_xlfn.XLOOKUP(PurchaseList_Table[[#This Row],[BL No]],ResultTable[BL], ResultTable[Containers No.], "")</f>
        <v/>
      </c>
      <c r="K33" s="1" t="str">
        <f>_xlfn.XLOOKUP(PurchaseList_Table[[#This Row],[BL No]],ResultTable[BL], ResultTable[Container Type], "")</f>
        <v/>
      </c>
      <c r="L33" s="1" t="str">
        <f>_xlfn.XLOOKUP(PurchaseList_Table[[#This Row],[BL No]],ResultTable[BL], ResultTable[No. of Containers], "")</f>
        <v/>
      </c>
      <c r="M33" s="98">
        <f>IF(PurchaseList_Table[[#This Row],[ETA]]="", 2958465, VALUE(PurchaseList_Table[[#This Row],[ETA]]))</f>
        <v>2958465</v>
      </c>
      <c r="N33" s="33" t="str">
        <f>_xlfn.XLOOKUP(PurchaseList_Table[[#This Row],[BL No]],ResultTable[BL], ResultTable[ETD], "")</f>
        <v/>
      </c>
      <c r="O33" s="98" t="str">
        <f>_xlfn.XLOOKUP(PurchaseList_Table[[#This Row],[BL No]],ResultTable[BL], ResultTable[ETA], "")</f>
        <v/>
      </c>
      <c r="P33" s="51" t="str">
        <f>IF(AND(PurchaseList_Table[[#This Row],[ETA]]&lt;&gt;"",PurchaseList_Table[[#This Row],[ETD]]&lt;&gt;""),PurchaseList_Table[[#This Row],[ETA]]-PurchaseList_Table[[#This Row],[ETD]],"")</f>
        <v/>
      </c>
      <c r="Q33" s="43"/>
      <c r="R33" s="43"/>
      <c r="S33" s="36">
        <v>0</v>
      </c>
      <c r="T33" s="43"/>
      <c r="U33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3" s="33" t="str">
        <f>IFERROR(IF(PurchaseList_Table[[#This Row],[Outstanding Amount]]="","",
   PurchaseList_Table[[#This Row],[ETD]] + PurchaseList_Table[[#This Row],[Credit Period]]
),"")</f>
        <v/>
      </c>
      <c r="W33" s="1" t="str" cm="1">
        <f t="array" aca="1" ref="W33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3" s="36"/>
      <c r="Y33" s="36"/>
      <c r="Z33" s="36"/>
      <c r="AA33" s="36"/>
      <c r="AB33" s="36"/>
      <c r="AC33" s="36"/>
      <c r="AD33" s="1" t="str">
        <f>IF(PurchaseList_Table[[#This Row],[ETA]]="","",TEXT(PurchaseList_Table[[#This Row],[ETA]],"MMM-YYYY"))</f>
        <v/>
      </c>
      <c r="AE33" s="1" t="str">
        <f>_xlfn.LET(_xlpm.x, TRIM(CLEAN(PurchaseList_Table[[#This Row],[Material]])), IF(_xlpm.x="", "", _xlpm.x))</f>
        <v/>
      </c>
      <c r="AF33" s="1" t="str">
        <f>IF(PurchaseList_Table[[#This Row],[ETA MONTH]]="", "Waiting for loading", PurchaseList_Table[[#This Row],[ETA MONTH]])</f>
        <v>Waiting for loading</v>
      </c>
      <c r="AG33" s="1" cm="1">
        <f t="array" ref="AG33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3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4" spans="1:34" ht="31.5" customHeight="1" x14ac:dyDescent="0.25">
      <c r="A34" s="36"/>
      <c r="B34" s="36"/>
      <c r="C34" s="36"/>
      <c r="D34" s="46"/>
      <c r="E34" s="41"/>
      <c r="F34" s="60"/>
      <c r="G34" s="41"/>
      <c r="H34" s="36"/>
      <c r="I34" s="42"/>
      <c r="J34" s="1" t="str">
        <f>_xlfn.XLOOKUP(PurchaseList_Table[[#This Row],[BL No]],ResultTable[BL], ResultTable[Containers No.], "")</f>
        <v/>
      </c>
      <c r="K34" s="1" t="str">
        <f>_xlfn.XLOOKUP(PurchaseList_Table[[#This Row],[BL No]],ResultTable[BL], ResultTable[Container Type], "")</f>
        <v/>
      </c>
      <c r="L34" s="1" t="str">
        <f>_xlfn.XLOOKUP(PurchaseList_Table[[#This Row],[BL No]],ResultTable[BL], ResultTable[No. of Containers], "")</f>
        <v/>
      </c>
      <c r="M34" s="98">
        <f>IF(PurchaseList_Table[[#This Row],[ETA]]="", 2958465, VALUE(PurchaseList_Table[[#This Row],[ETA]]))</f>
        <v>2958465</v>
      </c>
      <c r="N34" s="33" t="str">
        <f>_xlfn.XLOOKUP(PurchaseList_Table[[#This Row],[BL No]],ResultTable[BL], ResultTable[ETD], "")</f>
        <v/>
      </c>
      <c r="O34" s="98" t="str">
        <f>_xlfn.XLOOKUP(PurchaseList_Table[[#This Row],[BL No]],ResultTable[BL], ResultTable[ETA], "")</f>
        <v/>
      </c>
      <c r="P34" s="51" t="str">
        <f>IF(AND(PurchaseList_Table[[#This Row],[ETA]]&lt;&gt;"",PurchaseList_Table[[#This Row],[ETD]]&lt;&gt;""),PurchaseList_Table[[#This Row],[ETA]]-PurchaseList_Table[[#This Row],[ETD]],"")</f>
        <v/>
      </c>
      <c r="Q34" s="43"/>
      <c r="R34" s="43"/>
      <c r="S34" s="36">
        <v>0</v>
      </c>
      <c r="T34" s="43"/>
      <c r="U34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4" s="33" t="str">
        <f>IFERROR(IF(PurchaseList_Table[[#This Row],[Outstanding Amount]]="","",
   PurchaseList_Table[[#This Row],[ETD]] + PurchaseList_Table[[#This Row],[Credit Period]]
),"")</f>
        <v/>
      </c>
      <c r="W34" s="1" t="str" cm="1">
        <f t="array" aca="1" ref="W34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4" s="36"/>
      <c r="Y34" s="36"/>
      <c r="Z34" s="36"/>
      <c r="AA34" s="36"/>
      <c r="AB34" s="36"/>
      <c r="AC34" s="36"/>
      <c r="AD34" s="1" t="str">
        <f>IF(PurchaseList_Table[[#This Row],[ETA]]="","",TEXT(PurchaseList_Table[[#This Row],[ETA]],"MMM-YYYY"))</f>
        <v/>
      </c>
      <c r="AE34" s="1" t="str">
        <f>_xlfn.LET(_xlpm.x, TRIM(CLEAN(PurchaseList_Table[[#This Row],[Material]])), IF(_xlpm.x="", "", _xlpm.x))</f>
        <v/>
      </c>
      <c r="AF34" s="1" t="str">
        <f>IF(PurchaseList_Table[[#This Row],[ETA MONTH]]="", "Waiting for loading", PurchaseList_Table[[#This Row],[ETA MONTH]])</f>
        <v>Waiting for loading</v>
      </c>
      <c r="AG34" s="1" cm="1">
        <f t="array" ref="AG34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4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5" spans="1:34" ht="31.5" customHeight="1" x14ac:dyDescent="0.25">
      <c r="A35" s="36"/>
      <c r="B35" s="36"/>
      <c r="C35" s="36"/>
      <c r="D35" s="46"/>
      <c r="E35" s="41"/>
      <c r="F35" s="60"/>
      <c r="G35" s="41"/>
      <c r="H35" s="36"/>
      <c r="I35" s="42"/>
      <c r="J35" s="1" t="str">
        <f>_xlfn.XLOOKUP(PurchaseList_Table[[#This Row],[BL No]],ResultTable[BL], ResultTable[Containers No.], "")</f>
        <v/>
      </c>
      <c r="K35" s="1" t="str">
        <f>_xlfn.XLOOKUP(PurchaseList_Table[[#This Row],[BL No]],ResultTable[BL], ResultTable[Container Type], "")</f>
        <v/>
      </c>
      <c r="L35" s="1" t="str">
        <f>_xlfn.XLOOKUP(PurchaseList_Table[[#This Row],[BL No]],ResultTable[BL], ResultTable[No. of Containers], "")</f>
        <v/>
      </c>
      <c r="M35" s="98">
        <f>IF(PurchaseList_Table[[#This Row],[ETA]]="", 2958465, VALUE(PurchaseList_Table[[#This Row],[ETA]]))</f>
        <v>2958465</v>
      </c>
      <c r="N35" s="33" t="str">
        <f>_xlfn.XLOOKUP(PurchaseList_Table[[#This Row],[BL No]],ResultTable[BL], ResultTable[ETD], "")</f>
        <v/>
      </c>
      <c r="O35" s="98" t="str">
        <f>_xlfn.XLOOKUP(PurchaseList_Table[[#This Row],[BL No]],ResultTable[BL], ResultTable[ETA], "")</f>
        <v/>
      </c>
      <c r="P35" s="51" t="str">
        <f>IF(AND(PurchaseList_Table[[#This Row],[ETA]]&lt;&gt;"",PurchaseList_Table[[#This Row],[ETD]]&lt;&gt;""),PurchaseList_Table[[#This Row],[ETA]]-PurchaseList_Table[[#This Row],[ETD]],"")</f>
        <v/>
      </c>
      <c r="Q35" s="43"/>
      <c r="R35" s="43"/>
      <c r="S35" s="36">
        <v>0</v>
      </c>
      <c r="T35" s="43"/>
      <c r="U35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5" s="33" t="str">
        <f>IFERROR(IF(PurchaseList_Table[[#This Row],[Outstanding Amount]]="","",
   PurchaseList_Table[[#This Row],[ETD]] + PurchaseList_Table[[#This Row],[Credit Period]]
),"")</f>
        <v/>
      </c>
      <c r="W35" s="1" t="str" cm="1">
        <f t="array" aca="1" ref="W35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5" s="36"/>
      <c r="Y35" s="36"/>
      <c r="Z35" s="36"/>
      <c r="AA35" s="36"/>
      <c r="AB35" s="36"/>
      <c r="AC35" s="36"/>
      <c r="AD35" s="1" t="str">
        <f>IF(PurchaseList_Table[[#This Row],[ETA]]="","",TEXT(PurchaseList_Table[[#This Row],[ETA]],"MMM-YYYY"))</f>
        <v/>
      </c>
      <c r="AE35" s="1" t="str">
        <f>_xlfn.LET(_xlpm.x, TRIM(CLEAN(PurchaseList_Table[[#This Row],[Material]])), IF(_xlpm.x="", "", _xlpm.x))</f>
        <v/>
      </c>
      <c r="AF35" s="1" t="str">
        <f>IF(PurchaseList_Table[[#This Row],[ETA MONTH]]="", "Waiting for loading", PurchaseList_Table[[#This Row],[ETA MONTH]])</f>
        <v>Waiting for loading</v>
      </c>
      <c r="AG35" s="1" cm="1">
        <f t="array" ref="AG35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5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6" spans="1:34" ht="31.5" customHeight="1" x14ac:dyDescent="0.25">
      <c r="A36" s="36"/>
      <c r="B36" s="36"/>
      <c r="C36" s="36"/>
      <c r="D36" s="46"/>
      <c r="E36" s="41"/>
      <c r="F36" s="60"/>
      <c r="G36" s="41"/>
      <c r="H36" s="36"/>
      <c r="I36" s="42"/>
      <c r="J36" s="1" t="str">
        <f>_xlfn.XLOOKUP(PurchaseList_Table[[#This Row],[BL No]],ResultTable[BL], ResultTable[Containers No.], "")</f>
        <v/>
      </c>
      <c r="K36" s="1" t="str">
        <f>_xlfn.XLOOKUP(PurchaseList_Table[[#This Row],[BL No]],ResultTable[BL], ResultTable[Container Type], "")</f>
        <v/>
      </c>
      <c r="L36" s="1" t="str">
        <f>_xlfn.XLOOKUP(PurchaseList_Table[[#This Row],[BL No]],ResultTable[BL], ResultTable[No. of Containers], "")</f>
        <v/>
      </c>
      <c r="M36" s="98">
        <f>IF(PurchaseList_Table[[#This Row],[ETA]]="", 2958465, VALUE(PurchaseList_Table[[#This Row],[ETA]]))</f>
        <v>2958465</v>
      </c>
      <c r="N36" s="33" t="str">
        <f>_xlfn.XLOOKUP(PurchaseList_Table[[#This Row],[BL No]],ResultTable[BL], ResultTable[ETD], "")</f>
        <v/>
      </c>
      <c r="O36" s="98" t="str">
        <f>_xlfn.XLOOKUP(PurchaseList_Table[[#This Row],[BL No]],ResultTable[BL], ResultTable[ETA], "")</f>
        <v/>
      </c>
      <c r="P36" s="51" t="str">
        <f>IF(AND(PurchaseList_Table[[#This Row],[ETA]]&lt;&gt;"",PurchaseList_Table[[#This Row],[ETD]]&lt;&gt;""),PurchaseList_Table[[#This Row],[ETA]]-PurchaseList_Table[[#This Row],[ETD]],"")</f>
        <v/>
      </c>
      <c r="Q36" s="43"/>
      <c r="R36" s="43"/>
      <c r="S36" s="36">
        <v>0</v>
      </c>
      <c r="T36" s="43"/>
      <c r="U36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6" s="33" t="str">
        <f>IFERROR(IF(PurchaseList_Table[[#This Row],[Outstanding Amount]]="","",
   PurchaseList_Table[[#This Row],[ETD]] + PurchaseList_Table[[#This Row],[Credit Period]]
),"")</f>
        <v/>
      </c>
      <c r="W36" s="1" t="str" cm="1">
        <f t="array" aca="1" ref="W36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6" s="36"/>
      <c r="Y36" s="36"/>
      <c r="Z36" s="36"/>
      <c r="AA36" s="36"/>
      <c r="AB36" s="36"/>
      <c r="AC36" s="36"/>
      <c r="AD36" s="1" t="str">
        <f>IF(PurchaseList_Table[[#This Row],[ETA]]="","",TEXT(PurchaseList_Table[[#This Row],[ETA]],"MMM-YYYY"))</f>
        <v/>
      </c>
      <c r="AE36" s="1" t="str">
        <f>_xlfn.LET(_xlpm.x, TRIM(CLEAN(PurchaseList_Table[[#This Row],[Material]])), IF(_xlpm.x="", "", _xlpm.x))</f>
        <v/>
      </c>
      <c r="AF36" s="1" t="str">
        <f>IF(PurchaseList_Table[[#This Row],[ETA MONTH]]="", "Waiting for loading", PurchaseList_Table[[#This Row],[ETA MONTH]])</f>
        <v>Waiting for loading</v>
      </c>
      <c r="AG36" s="1" cm="1">
        <f t="array" ref="AG36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6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7" spans="1:34" ht="31.5" customHeight="1" x14ac:dyDescent="0.25">
      <c r="A37" s="36"/>
      <c r="B37" s="36"/>
      <c r="C37" s="36"/>
      <c r="D37" s="46"/>
      <c r="E37" s="41"/>
      <c r="F37" s="60"/>
      <c r="G37" s="41"/>
      <c r="H37" s="36"/>
      <c r="I37" s="42"/>
      <c r="J37" s="1" t="str">
        <f>_xlfn.XLOOKUP(PurchaseList_Table[[#This Row],[BL No]],ResultTable[BL], ResultTable[Containers No.], "")</f>
        <v/>
      </c>
      <c r="K37" s="1" t="str">
        <f>_xlfn.XLOOKUP(PurchaseList_Table[[#This Row],[BL No]],ResultTable[BL], ResultTable[Container Type], "")</f>
        <v/>
      </c>
      <c r="L37" s="1" t="str">
        <f>_xlfn.XLOOKUP(PurchaseList_Table[[#This Row],[BL No]],ResultTable[BL], ResultTable[No. of Containers], "")</f>
        <v/>
      </c>
      <c r="M37" s="98">
        <f>IF(PurchaseList_Table[[#This Row],[ETA]]="", 2958465, VALUE(PurchaseList_Table[[#This Row],[ETA]]))</f>
        <v>2958465</v>
      </c>
      <c r="N37" s="33" t="str">
        <f>_xlfn.XLOOKUP(PurchaseList_Table[[#This Row],[BL No]],ResultTable[BL], ResultTable[ETD], "")</f>
        <v/>
      </c>
      <c r="O37" s="98" t="str">
        <f>_xlfn.XLOOKUP(PurchaseList_Table[[#This Row],[BL No]],ResultTable[BL], ResultTable[ETA], "")</f>
        <v/>
      </c>
      <c r="P37" s="51" t="str">
        <f>IF(AND(PurchaseList_Table[[#This Row],[ETA]]&lt;&gt;"",PurchaseList_Table[[#This Row],[ETD]]&lt;&gt;""),PurchaseList_Table[[#This Row],[ETA]]-PurchaseList_Table[[#This Row],[ETD]],"")</f>
        <v/>
      </c>
      <c r="Q37" s="43"/>
      <c r="R37" s="43"/>
      <c r="S37" s="36">
        <v>0</v>
      </c>
      <c r="T37" s="43"/>
      <c r="U37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7" s="33" t="str">
        <f>IFERROR(IF(PurchaseList_Table[[#This Row],[Outstanding Amount]]="","",
   PurchaseList_Table[[#This Row],[ETD]] + PurchaseList_Table[[#This Row],[Credit Period]]
),"")</f>
        <v/>
      </c>
      <c r="W37" s="1" t="str" cm="1">
        <f t="array" aca="1" ref="W37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7" s="36"/>
      <c r="Y37" s="36"/>
      <c r="Z37" s="36"/>
      <c r="AA37" s="36"/>
      <c r="AB37" s="36"/>
      <c r="AC37" s="36"/>
      <c r="AD37" s="1" t="str">
        <f>IF(PurchaseList_Table[[#This Row],[ETA]]="","",TEXT(PurchaseList_Table[[#This Row],[ETA]],"MMM-YYYY"))</f>
        <v/>
      </c>
      <c r="AE37" s="1" t="str">
        <f>_xlfn.LET(_xlpm.x, TRIM(CLEAN(PurchaseList_Table[[#This Row],[Material]])), IF(_xlpm.x="", "", _xlpm.x))</f>
        <v/>
      </c>
      <c r="AF37" s="1" t="str">
        <f>IF(PurchaseList_Table[[#This Row],[ETA MONTH]]="", "Waiting for loading", PurchaseList_Table[[#This Row],[ETA MONTH]])</f>
        <v>Waiting for loading</v>
      </c>
      <c r="AG37" s="1" cm="1">
        <f t="array" ref="AG37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7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8" spans="1:34" ht="31.5" customHeight="1" x14ac:dyDescent="0.25">
      <c r="A38" s="36"/>
      <c r="B38" s="36"/>
      <c r="C38" s="36"/>
      <c r="D38" s="46"/>
      <c r="E38" s="41"/>
      <c r="F38" s="60"/>
      <c r="G38" s="41"/>
      <c r="H38" s="36"/>
      <c r="I38" s="42"/>
      <c r="J38" s="1" t="str">
        <f>_xlfn.XLOOKUP(PurchaseList_Table[[#This Row],[BL No]],ResultTable[BL], ResultTable[Containers No.], "")</f>
        <v/>
      </c>
      <c r="K38" s="1" t="str">
        <f>_xlfn.XLOOKUP(PurchaseList_Table[[#This Row],[BL No]],ResultTable[BL], ResultTable[Container Type], "")</f>
        <v/>
      </c>
      <c r="L38" s="1" t="str">
        <f>_xlfn.XLOOKUP(PurchaseList_Table[[#This Row],[BL No]],ResultTable[BL], ResultTable[No. of Containers], "")</f>
        <v/>
      </c>
      <c r="M38" s="98">
        <f>IF(PurchaseList_Table[[#This Row],[ETA]]="", 2958465, VALUE(PurchaseList_Table[[#This Row],[ETA]]))</f>
        <v>2958465</v>
      </c>
      <c r="N38" s="33" t="str">
        <f>_xlfn.XLOOKUP(PurchaseList_Table[[#This Row],[BL No]],ResultTable[BL], ResultTable[ETD], "")</f>
        <v/>
      </c>
      <c r="O38" s="98" t="str">
        <f>_xlfn.XLOOKUP(PurchaseList_Table[[#This Row],[BL No]],ResultTable[BL], ResultTable[ETA], "")</f>
        <v/>
      </c>
      <c r="P38" s="51" t="str">
        <f>IF(AND(PurchaseList_Table[[#This Row],[ETA]]&lt;&gt;"",PurchaseList_Table[[#This Row],[ETD]]&lt;&gt;""),PurchaseList_Table[[#This Row],[ETA]]-PurchaseList_Table[[#This Row],[ETD]],"")</f>
        <v/>
      </c>
      <c r="Q38" s="43"/>
      <c r="R38" s="43"/>
      <c r="S38" s="36">
        <v>0</v>
      </c>
      <c r="T38" s="43"/>
      <c r="U38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8" s="33" t="str">
        <f>IFERROR(IF(PurchaseList_Table[[#This Row],[Outstanding Amount]]="","",
   PurchaseList_Table[[#This Row],[ETD]] + PurchaseList_Table[[#This Row],[Credit Period]]
),"")</f>
        <v/>
      </c>
      <c r="W38" s="1" t="str" cm="1">
        <f t="array" aca="1" ref="W38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8" s="36"/>
      <c r="Y38" s="36"/>
      <c r="Z38" s="36"/>
      <c r="AA38" s="36"/>
      <c r="AB38" s="36"/>
      <c r="AC38" s="36"/>
      <c r="AD38" s="1" t="str">
        <f>IF(PurchaseList_Table[[#This Row],[ETA]]="","",TEXT(PurchaseList_Table[[#This Row],[ETA]],"MMM-YYYY"))</f>
        <v/>
      </c>
      <c r="AE38" s="1" t="str">
        <f>_xlfn.LET(_xlpm.x, TRIM(CLEAN(PurchaseList_Table[[#This Row],[Material]])), IF(_xlpm.x="", "", _xlpm.x))</f>
        <v/>
      </c>
      <c r="AF38" s="1" t="str">
        <f>IF(PurchaseList_Table[[#This Row],[ETA MONTH]]="", "Waiting for loading", PurchaseList_Table[[#This Row],[ETA MONTH]])</f>
        <v>Waiting for loading</v>
      </c>
      <c r="AG38" s="1" cm="1">
        <f t="array" ref="AG38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8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39" spans="1:34" ht="31.5" customHeight="1" x14ac:dyDescent="0.25">
      <c r="A39" s="36"/>
      <c r="B39" s="36"/>
      <c r="C39" s="36"/>
      <c r="D39" s="46"/>
      <c r="E39" s="41"/>
      <c r="F39" s="60"/>
      <c r="G39" s="41"/>
      <c r="H39" s="36"/>
      <c r="I39" s="42"/>
      <c r="J39" s="1" t="str">
        <f>_xlfn.XLOOKUP(PurchaseList_Table[[#This Row],[BL No]],ResultTable[BL], ResultTable[Containers No.], "")</f>
        <v/>
      </c>
      <c r="K39" s="1" t="str">
        <f>_xlfn.XLOOKUP(PurchaseList_Table[[#This Row],[BL No]],ResultTable[BL], ResultTable[Container Type], "")</f>
        <v/>
      </c>
      <c r="L39" s="1" t="str">
        <f>_xlfn.XLOOKUP(PurchaseList_Table[[#This Row],[BL No]],ResultTable[BL], ResultTable[No. of Containers], "")</f>
        <v/>
      </c>
      <c r="M39" s="98">
        <f>IF(PurchaseList_Table[[#This Row],[ETA]]="", 2958465, VALUE(PurchaseList_Table[[#This Row],[ETA]]))</f>
        <v>2958465</v>
      </c>
      <c r="N39" s="33" t="str">
        <f>_xlfn.XLOOKUP(PurchaseList_Table[[#This Row],[BL No]],ResultTable[BL], ResultTable[ETD], "")</f>
        <v/>
      </c>
      <c r="O39" s="98" t="str">
        <f>_xlfn.XLOOKUP(PurchaseList_Table[[#This Row],[BL No]],ResultTable[BL], ResultTable[ETA], "")</f>
        <v/>
      </c>
      <c r="P39" s="51" t="str">
        <f>IF(AND(PurchaseList_Table[[#This Row],[ETA]]&lt;&gt;"",PurchaseList_Table[[#This Row],[ETD]]&lt;&gt;""),PurchaseList_Table[[#This Row],[ETA]]-PurchaseList_Table[[#This Row],[ETD]],"")</f>
        <v/>
      </c>
      <c r="Q39" s="43"/>
      <c r="R39" s="43"/>
      <c r="S39" s="36">
        <v>0</v>
      </c>
      <c r="T39" s="43"/>
      <c r="U39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39" s="33" t="str">
        <f>IFERROR(IF(PurchaseList_Table[[#This Row],[Outstanding Amount]]="","",
   PurchaseList_Table[[#This Row],[ETD]] + PurchaseList_Table[[#This Row],[Credit Period]]
),"")</f>
        <v/>
      </c>
      <c r="W39" s="1" t="str" cm="1">
        <f t="array" aca="1" ref="W39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39" s="36"/>
      <c r="Y39" s="36"/>
      <c r="Z39" s="36"/>
      <c r="AA39" s="36"/>
      <c r="AB39" s="36"/>
      <c r="AC39" s="36"/>
      <c r="AD39" s="1" t="str">
        <f>IF(PurchaseList_Table[[#This Row],[ETA]]="","",TEXT(PurchaseList_Table[[#This Row],[ETA]],"MMM-YYYY"))</f>
        <v/>
      </c>
      <c r="AE39" s="1" t="str">
        <f>_xlfn.LET(_xlpm.x, TRIM(CLEAN(PurchaseList_Table[[#This Row],[Material]])), IF(_xlpm.x="", "", _xlpm.x))</f>
        <v/>
      </c>
      <c r="AF39" s="1" t="str">
        <f>IF(PurchaseList_Table[[#This Row],[ETA MONTH]]="", "Waiting for loading", PurchaseList_Table[[#This Row],[ETA MONTH]])</f>
        <v>Waiting for loading</v>
      </c>
      <c r="AG39" s="1" cm="1">
        <f t="array" ref="AG39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39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0" spans="1:34" ht="31.5" customHeight="1" x14ac:dyDescent="0.25">
      <c r="A40" s="36"/>
      <c r="B40" s="36"/>
      <c r="C40" s="36"/>
      <c r="D40" s="46"/>
      <c r="E40" s="41"/>
      <c r="F40" s="60"/>
      <c r="G40" s="41"/>
      <c r="H40" s="36"/>
      <c r="I40" s="42"/>
      <c r="J40" s="1" t="str">
        <f>_xlfn.XLOOKUP(PurchaseList_Table[[#This Row],[BL No]],ResultTable[BL], ResultTable[Containers No.], "")</f>
        <v/>
      </c>
      <c r="K40" s="1" t="str">
        <f>_xlfn.XLOOKUP(PurchaseList_Table[[#This Row],[BL No]],ResultTable[BL], ResultTable[Container Type], "")</f>
        <v/>
      </c>
      <c r="L40" s="1" t="str">
        <f>_xlfn.XLOOKUP(PurchaseList_Table[[#This Row],[BL No]],ResultTable[BL], ResultTable[No. of Containers], "")</f>
        <v/>
      </c>
      <c r="M40" s="98">
        <f>IF(PurchaseList_Table[[#This Row],[ETA]]="", 2958465, VALUE(PurchaseList_Table[[#This Row],[ETA]]))</f>
        <v>2958465</v>
      </c>
      <c r="N40" s="33" t="str">
        <f>_xlfn.XLOOKUP(PurchaseList_Table[[#This Row],[BL No]],ResultTable[BL], ResultTable[ETD], "")</f>
        <v/>
      </c>
      <c r="O40" s="98" t="str">
        <f>_xlfn.XLOOKUP(PurchaseList_Table[[#This Row],[BL No]],ResultTable[BL], ResultTable[ETA], "")</f>
        <v/>
      </c>
      <c r="P40" s="51" t="str">
        <f>IF(AND(PurchaseList_Table[[#This Row],[ETA]]&lt;&gt;"",PurchaseList_Table[[#This Row],[ETD]]&lt;&gt;""),PurchaseList_Table[[#This Row],[ETA]]-PurchaseList_Table[[#This Row],[ETD]],"")</f>
        <v/>
      </c>
      <c r="Q40" s="43"/>
      <c r="R40" s="43"/>
      <c r="S40" s="36">
        <v>0</v>
      </c>
      <c r="T40" s="43"/>
      <c r="U40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40" s="33" t="str">
        <f>IFERROR(IF(PurchaseList_Table[[#This Row],[Outstanding Amount]]="","",
   PurchaseList_Table[[#This Row],[ETD]] + PurchaseList_Table[[#This Row],[Credit Period]]
),"")</f>
        <v/>
      </c>
      <c r="W40" s="1" t="str" cm="1">
        <f t="array" aca="1" ref="W40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40" s="36"/>
      <c r="Y40" s="36"/>
      <c r="Z40" s="36"/>
      <c r="AA40" s="36"/>
      <c r="AB40" s="36"/>
      <c r="AC40" s="36"/>
      <c r="AD40" s="1" t="str">
        <f>IF(PurchaseList_Table[[#This Row],[ETA]]="","",TEXT(PurchaseList_Table[[#This Row],[ETA]],"MMM-YYYY"))</f>
        <v/>
      </c>
      <c r="AE40" s="1" t="str">
        <f>_xlfn.LET(_xlpm.x, TRIM(CLEAN(PurchaseList_Table[[#This Row],[Material]])), IF(_xlpm.x="", "", _xlpm.x))</f>
        <v/>
      </c>
      <c r="AF40" s="1" t="str">
        <f>IF(PurchaseList_Table[[#This Row],[ETA MONTH]]="", "Waiting for loading", PurchaseList_Table[[#This Row],[ETA MONTH]])</f>
        <v>Waiting for loading</v>
      </c>
      <c r="AG40" s="1" cm="1">
        <f t="array" ref="AG40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40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1" spans="1:34" ht="31.5" customHeight="1" x14ac:dyDescent="0.25">
      <c r="A41" s="36"/>
      <c r="B41" s="36"/>
      <c r="C41" s="36"/>
      <c r="D41" s="46"/>
      <c r="E41" s="41"/>
      <c r="F41" s="60"/>
      <c r="G41" s="41"/>
      <c r="H41" s="36"/>
      <c r="I41" s="42"/>
      <c r="J41" s="1" t="str">
        <f>_xlfn.XLOOKUP(PurchaseList_Table[[#This Row],[BL No]],ResultTable[BL], ResultTable[Containers No.], "")</f>
        <v/>
      </c>
      <c r="K41" s="1" t="str">
        <f>_xlfn.XLOOKUP(PurchaseList_Table[[#This Row],[BL No]],ResultTable[BL], ResultTable[Container Type], "")</f>
        <v/>
      </c>
      <c r="L41" s="1" t="str">
        <f>_xlfn.XLOOKUP(PurchaseList_Table[[#This Row],[BL No]],ResultTable[BL], ResultTable[No. of Containers], "")</f>
        <v/>
      </c>
      <c r="M41" s="98">
        <f>IF(PurchaseList_Table[[#This Row],[ETA]]="", 2958465, VALUE(PurchaseList_Table[[#This Row],[ETA]]))</f>
        <v>2958465</v>
      </c>
      <c r="N41" s="33" t="str">
        <f>_xlfn.XLOOKUP(PurchaseList_Table[[#This Row],[BL No]],ResultTable[BL], ResultTable[ETD], "")</f>
        <v/>
      </c>
      <c r="O41" s="98" t="str">
        <f>_xlfn.XLOOKUP(PurchaseList_Table[[#This Row],[BL No]],ResultTable[BL], ResultTable[ETA], "")</f>
        <v/>
      </c>
      <c r="P41" s="51" t="str">
        <f>IF(AND(PurchaseList_Table[[#This Row],[ETA]]&lt;&gt;"",PurchaseList_Table[[#This Row],[ETD]]&lt;&gt;""),PurchaseList_Table[[#This Row],[ETA]]-PurchaseList_Table[[#This Row],[ETD]],"")</f>
        <v/>
      </c>
      <c r="Q41" s="43"/>
      <c r="R41" s="43"/>
      <c r="S41" s="36">
        <v>0</v>
      </c>
      <c r="T41" s="43"/>
      <c r="U41" s="44" t="str">
        <f>IF(PurchaseList_Table[[#This Row],[Total invoice Amount]]="","",
    ROUND(PurchaseList_Table[[#This Row],[Total invoice Amount]] - PurchaseList_Table[[#This Row],[Advance Paid]] - PurchaseList_Table[[#This Row],[Paid Balance amount]], 2)
)</f>
        <v/>
      </c>
      <c r="V41" s="33" t="str">
        <f>IFERROR(IF(PurchaseList_Table[[#This Row],[Outstanding Amount]]="","",
   PurchaseList_Table[[#This Row],[ETD]] + PurchaseList_Table[[#This Row],[Credit Period]]
),"")</f>
        <v/>
      </c>
      <c r="W41" s="1" t="str" cm="1">
        <f t="array" aca="1" ref="W41" ca="1">_xlfn.LET(
    _xlpm.supp, PurchaseList_Table[[#This Row],[Supplier Code]],
    _xlpm.mat,  PurchaseList_Table[[#This Row],[Material]],
    _xlpm.wght, PurchaseList_Table[[#This Row],[Weight]],
    _xlpm.adv,  PurchaseList_Table[[#This Row],[Advance Paid]],
    _xlpm.amt,  PurchaseList_Table[[#This Row],[Outstanding Amount]],
    _xlpm.inv,  PurchaseList_Table[[#This Row],[Total invoice Amount]],
    _xlpm.etd,  PurchaseList_Table[[#This Row],[ETD]],
    _xlpm.eta,  PurchaseList_Table[[#This Row],[ETA]],
    _xlpm.due,  PurchaseList_Table[[#This Row],[Outstanding Due Date]],
    _xlpm.bl,   PurchaseList_Table[[#This Row],[BL No]],
    _xlpm.tv,   TodayValue,
    _xlpm.scd,        PurchaseList_Table[[#This Row],[SC / Invoice Date]],
    _xlpm.scperiod,   PurchaseList_Table[[#This Row],[SC Period]],
    _xlpm.scexp,      _xlpm.scd + _xlpm.scperiod,
    _xlpm.podArrived, AND(ISNUMBER(_xlpm.eta), _xlpm.tv &gt;= _xlpm.eta),
    _xlfn.IFS(
        AND(_xlpm.supp="", _xlpm.mat="", _xlpm.adv="", _xlpm.inv=""), "",
        AND(_xlpm.bl="", ISNUMBER(_xlpm.scd), ISNUMBER(_xlpm.scperiod), _xlpm.tv &gt; _xlpm.scexp),
            "SC Expired",
        AND(_xlpm.bl="", ISNUMBER(_xlpm.scd), ISNUMBER(_xlpm.scperiod), NOT(ISNUMBER(_xlpm.etd)), _xlpm.tv &lt;= _xlpm.scexp),
            "Waiting Loading",
        _xlpm.podArrived,
            "Arrived at POD",
        AND(ISNUMBER(_xlpm.etd), ISNUMBER(_xlpm.eta), _xlpm.inv=""),
            "Loaded, Waiting for Invoice",
        AND(_xlpm.adv="", _xlpm.inv="", _xlpm.wght&lt;&gt;""),
            "Contract Signed",
        AND(_xlpm.amt=0, _xlpm.inv&lt;&gt;"", NOT(ISNUMBER(_xlpm.etd)), NOT(ISNUMBER(_xlpm.eta))),
            "Total Invoice Clear, Waiting for BL",
        AND(_xlpm.amt&gt;0, _xlpm.inv&lt;&gt;"", NOT(ISNUMBER(_xlpm.etd)), NOT(ISNUMBER(_xlpm.eta))),
            "Invoice Received, Waiting for BL",
        AND(_xlpm.amt&lt;0, _xlpm.inv&lt;&gt;"", NOT(ISNUMBER(_xlpm.etd)), NOT(ISNUMBER(_xlpm.eta))),
            "OverPaid, Waiting for BL",
        AND(NOT(ISNUMBER(_xlpm.etd)), NOT(ISNUMBER(_xlpm.eta)), _xlpm.inv="", _xlpm.adv&lt;&gt;""),
            "Advance Paid, Expecting Loading.",
        _xlpm.amt=0, "Done",
        _xlpm.amt&lt;0, "OverPaid",
        ISNUMBER(_xlpm.due) * (_xlpm.due = _xlpm.tv),
            "Due Today",
        ISNUMBER(_xlpm.due) * (_xlpm.due &lt; _xlpm.tv),
            "OverDue",
        TRUE, "Yet to Pay"
    )
)</f>
        <v/>
      </c>
      <c r="X41" s="36"/>
      <c r="Y41" s="36"/>
      <c r="Z41" s="36"/>
      <c r="AA41" s="36"/>
      <c r="AB41" s="36"/>
      <c r="AC41" s="36"/>
      <c r="AD41" s="1" t="str">
        <f>IF(PurchaseList_Table[[#This Row],[ETA]]="","",TEXT(PurchaseList_Table[[#This Row],[ETA]],"MMM-YYYY"))</f>
        <v/>
      </c>
      <c r="AE41" s="1" t="str">
        <f>_xlfn.LET(_xlpm.x, TRIM(CLEAN(PurchaseList_Table[[#This Row],[Material]])), IF(_xlpm.x="", "", _xlpm.x))</f>
        <v/>
      </c>
      <c r="AF41" s="1" t="str">
        <f>IF(PurchaseList_Table[[#This Row],[ETA MONTH]]="", "Waiting for loading", PurchaseList_Table[[#This Row],[ETA MONTH]])</f>
        <v>Waiting for loading</v>
      </c>
      <c r="AG41" s="1" cm="1">
        <f t="array" ref="AG41">IF(
    TRIM(PurchaseList_Table[[#This Row],[Weight]])="",
    0,
    _xlfn.LET(
        _xlpm.w, TRIM(PurchaseList_Table[[#This Row],[Weight]]),
        _xlpm.parts, _xlfn.TEXTSPLIT(_xlpm.w, " "),
        _xlpm.first, INDEX(_xlpm.parts,1),
        _xlpm.cleaned, SUBSTITUTE(_xlpm.first, ",", ""),
        IFERROR(VALUE(_xlpm.cleaned), 0)
    )
)</f>
        <v>0</v>
      </c>
      <c r="AH41" s="1" t="str">
        <f>_xlfn.LET(
    _xlpm.phys, PurchaseList_Table[[#This Row],[No. of Containers]],
    _xlpm.ct,   PurchaseList_Table[[#This Row],[Container Type]],
    IF(
        ISNUMBER(_xlpm.phys),
        _xlpm.phys,
        IF(
            _xlpm.ct="",
            "",
            VALUE(LEFT(_xlpm.ct, FIND(" ", _xlpm.ct &amp; " ") - 1))
        )
    )
)</f>
        <v/>
      </c>
    </row>
    <row r="42" spans="1:34" s="56" customFormat="1" ht="25.5" customHeight="1" x14ac:dyDescent="0.3">
      <c r="A42" s="53"/>
      <c r="B42" s="53"/>
      <c r="C42" s="53"/>
      <c r="D42" s="53"/>
      <c r="E42" s="53"/>
      <c r="F42" s="53"/>
      <c r="G42" s="53"/>
      <c r="H42" s="53"/>
      <c r="I42" s="58">
        <f>SUBTOTAL(109,PurchaseList_Table[Weight])</f>
        <v>779.8660000000001</v>
      </c>
      <c r="J42" s="53"/>
      <c r="K42" s="53"/>
      <c r="L42" s="53">
        <f>SUBTOTAL(109,PurchaseList_Table[No. of Containers])</f>
        <v>0</v>
      </c>
      <c r="M42" s="53"/>
      <c r="N42" s="53"/>
      <c r="O42" s="53"/>
      <c r="P42" s="54"/>
      <c r="Q42" s="55">
        <f>SUBTOTAL(109,PurchaseList_Table[Advance Paid])</f>
        <v>113084</v>
      </c>
      <c r="R42" s="55">
        <f>SUBTOTAL(109,PurchaseList_Table[Total invoice Amount])</f>
        <v>312136.17</v>
      </c>
      <c r="S42" s="53"/>
      <c r="T42" s="55">
        <f>SUBTOTAL(109,PurchaseList_Table[Paid Balance amount])</f>
        <v>199052.16999999998</v>
      </c>
      <c r="U42" s="55">
        <f>SUBTOTAL(109,PurchaseList_Table[Outstanding Amount])</f>
        <v>0</v>
      </c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>
        <f>SUBTOTAL(109,PurchaseList_Table[CLN No. of cnt])</f>
        <v>4</v>
      </c>
    </row>
    <row r="43" spans="1:34" x14ac:dyDescent="0.25">
      <c r="K43" s="42"/>
    </row>
    <row r="44" spans="1:34" x14ac:dyDescent="0.25">
      <c r="K44" s="42"/>
    </row>
    <row r="45" spans="1:34" x14ac:dyDescent="0.25">
      <c r="K45" s="42"/>
    </row>
    <row r="46" spans="1:34" x14ac:dyDescent="0.25">
      <c r="K46" s="42"/>
    </row>
    <row r="47" spans="1:34" x14ac:dyDescent="0.25">
      <c r="K47" s="42"/>
    </row>
    <row r="48" spans="1:34" x14ac:dyDescent="0.25">
      <c r="K48" s="42"/>
    </row>
    <row r="49" spans="11:11" x14ac:dyDescent="0.25">
      <c r="K49" s="42"/>
    </row>
    <row r="50" spans="11:11" x14ac:dyDescent="0.25">
      <c r="K50" s="42"/>
    </row>
    <row r="51" spans="11:11" x14ac:dyDescent="0.25">
      <c r="K51" s="42"/>
    </row>
    <row r="52" spans="11:11" x14ac:dyDescent="0.25">
      <c r="K52" s="42"/>
    </row>
    <row r="53" spans="11:11" x14ac:dyDescent="0.25">
      <c r="K53" s="42"/>
    </row>
    <row r="54" spans="11:11" x14ac:dyDescent="0.25">
      <c r="K54" s="42"/>
    </row>
    <row r="55" spans="11:11" x14ac:dyDescent="0.25">
      <c r="K55" s="42"/>
    </row>
    <row r="56" spans="11:11" x14ac:dyDescent="0.25">
      <c r="K56" s="42"/>
    </row>
    <row r="57" spans="11:11" x14ac:dyDescent="0.25">
      <c r="K57" s="42"/>
    </row>
    <row r="58" spans="11:11" x14ac:dyDescent="0.25">
      <c r="K58" s="42"/>
    </row>
    <row r="59" spans="11:11" x14ac:dyDescent="0.25">
      <c r="K59" s="42"/>
    </row>
  </sheetData>
  <mergeCells count="8">
    <mergeCell ref="S1:S3"/>
    <mergeCell ref="T1:T3"/>
    <mergeCell ref="K1:K3"/>
    <mergeCell ref="G1:G3"/>
    <mergeCell ref="P1:P3"/>
    <mergeCell ref="Q1:Q3"/>
    <mergeCell ref="I1:I3"/>
    <mergeCell ref="H1:H3"/>
  </mergeCells>
  <phoneticPr fontId="3" type="noConversion"/>
  <conditionalFormatting sqref="K44:K59">
    <cfRule type="expression" dxfId="31" priority="16">
      <formula>OR($V44="Overpaid",$V44="OverPaid, Waiting for BL")</formula>
    </cfRule>
    <cfRule type="expression" dxfId="30" priority="17">
      <formula>OR($V44="OverDue",$V44="Total Invoice Clear, Waiting for BL",$V44="Invoice Received, Waiting for BL")</formula>
    </cfRule>
    <cfRule type="expression" dxfId="29" priority="18">
      <formula>$V44="Done"</formula>
    </cfRule>
    <cfRule type="expression" dxfId="28" priority="19">
      <formula>LEN($B44)&gt;0</formula>
    </cfRule>
    <cfRule type="expression" dxfId="27" priority="20">
      <formula>$N43="2958465"</formula>
    </cfRule>
  </conditionalFormatting>
  <conditionalFormatting sqref="O4:O41">
    <cfRule type="expression" dxfId="26" priority="36">
      <formula>$O4=DATE(9999,12,31)</formula>
    </cfRule>
  </conditionalFormatting>
  <conditionalFormatting sqref="A2:D2 F2:G2 A3:G3 H2:I3 K2:K3 M2:AB3">
    <cfRule type="expression" dxfId="25" priority="205">
      <formula>OR($V2="Overpaid",$V2="OverPaid, Waiting for BL")</formula>
    </cfRule>
    <cfRule type="expression" dxfId="24" priority="206">
      <formula>OR($V2="OverDue",$V2="Total Invoice Clear, Waiting for BL",$V2="Invoice Received, Waiting for BL")</formula>
    </cfRule>
    <cfRule type="expression" dxfId="23" priority="207">
      <formula>$V2="Done"</formula>
    </cfRule>
    <cfRule type="expression" dxfId="22" priority="208">
      <formula>LEN($A2)&gt;0</formula>
    </cfRule>
    <cfRule type="expression" dxfId="21" priority="209">
      <formula>$N1="2958465"</formula>
    </cfRule>
  </conditionalFormatting>
  <conditionalFormatting sqref="Y5:Y41">
    <cfRule type="expression" dxfId="20" priority="10">
      <formula>$Y5="Done"</formula>
    </cfRule>
    <cfRule type="expression" dxfId="19" priority="11">
      <formula>AND($Y5&lt;&gt;"Done",$O5&lt;&gt;0,TodayValue&gt;=($O5-9))</formula>
    </cfRule>
  </conditionalFormatting>
  <conditionalFormatting sqref="AA5:AA41">
    <cfRule type="expression" dxfId="18" priority="6">
      <formula>$AA5="Done"</formula>
    </cfRule>
    <cfRule type="expression" dxfId="17" priority="7">
      <formula>AND($AA5&lt;&gt;"Done",$O5&lt;&gt;0,TodayValue&gt;=($O5-9))</formula>
    </cfRule>
  </conditionalFormatting>
  <conditionalFormatting sqref="AB5:AB41">
    <cfRule type="expression" dxfId="16" priority="4">
      <formula>$AB5="Done"</formula>
    </cfRule>
    <cfRule type="expression" dxfId="15" priority="5">
      <formula>AND($AB5&lt;&gt;"Done",$O5&lt;&gt;0,TodayValue&gt;=($O5-9))</formula>
    </cfRule>
  </conditionalFormatting>
  <conditionalFormatting sqref="Z5:Z41">
    <cfRule type="expression" dxfId="14" priority="1">
      <formula>$Z5="DRAFT"</formula>
    </cfRule>
    <cfRule type="expression" dxfId="13" priority="2">
      <formula>$Z5="UPLOADED"</formula>
    </cfRule>
    <cfRule type="expression" dxfId="12" priority="3">
      <formula>AND($Z5&lt;&gt;"UPLOADED",$O5&lt;&gt;0,TodayValue&gt;=($O5-9))</formula>
    </cfRule>
  </conditionalFormatting>
  <conditionalFormatting sqref="A5:AB41">
    <cfRule type="expression" dxfId="11" priority="199">
      <formula>LEN($B5)&gt;0</formula>
    </cfRule>
  </conditionalFormatting>
  <conditionalFormatting sqref="K43">
    <cfRule type="expression" dxfId="10" priority="215">
      <formula>OR($V43="Overpaid",$V43="OverPaid, Waiting for BL")</formula>
    </cfRule>
    <cfRule type="expression" dxfId="9" priority="216">
      <formula>OR($V43="OverDue",$V43="Total Invoice Clear, Waiting for BL",$V43="Invoice Received, Waiting for BL")</formula>
    </cfRule>
    <cfRule type="expression" dxfId="8" priority="217">
      <formula>$V43="Done"</formula>
    </cfRule>
    <cfRule type="expression" dxfId="7" priority="218">
      <formula>LEN($B43)&gt;0</formula>
    </cfRule>
    <cfRule type="expression" dxfId="6" priority="219">
      <formula>$O42="2958465"</formula>
    </cfRule>
  </conditionalFormatting>
  <conditionalFormatting sqref="A5:W41">
    <cfRule type="expression" dxfId="5" priority="220">
      <formula>$W5="SC Expired"</formula>
    </cfRule>
  </conditionalFormatting>
  <conditionalFormatting sqref="A5:J41 Q5:T41">
    <cfRule type="expression" dxfId="4" priority="221">
      <formula>$W5="Arrived at POD"</formula>
    </cfRule>
    <cfRule type="expression" dxfId="3" priority="222">
      <formula>OR($W5="Overpaid",$W5="OverPaid, Waiting for BL")</formula>
    </cfRule>
    <cfRule type="expression" dxfId="2" priority="223">
      <formula>OR($W5="OverDue",$W5="Total Invoice Clear, Waiting for BL",$W5="Invoice Received, Waiting for BL")</formula>
    </cfRule>
    <cfRule type="expression" dxfId="1" priority="224">
      <formula>$W5="Done"</formula>
    </cfRule>
  </conditionalFormatting>
  <conditionalFormatting sqref="G5:G41">
    <cfRule type="duplicateValues" dxfId="0" priority="227"/>
  </conditionalFormatting>
  <dataValidations count="1">
    <dataValidation type="list" allowBlank="1" showInputMessage="1" showErrorMessage="1" sqref="H5:H41" xr:uid="{CB6EF876-A142-4CE0-8E4F-449662CC8E3D}">
      <formula1>ShippingNames</formula1>
    </dataValidation>
  </dataValidations>
  <pageMargins left="0.25" right="0.25" top="0.75" bottom="0.75" header="0.3" footer="0.3"/>
  <pageSetup scale="40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BF704A-9050-469B-B7F1-F18AFB34444F}">
          <x14:formula1>
            <xm:f>Settings!$B$8:$B$9</xm:f>
          </x14:formula1>
          <xm:sqref>Y5:Y41 AA5:AB41</xm:sqref>
        </x14:dataValidation>
        <x14:dataValidation type="list" allowBlank="1" showInputMessage="1" showErrorMessage="1" xr:uid="{E1679AD8-DCC1-4083-9766-C5587B82777C}">
          <x14:formula1>
            <xm:f>Settings!$B$9:$B$11</xm:f>
          </x14:formula1>
          <xm:sqref>Z5:Z41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F6ACA-1F08-483B-82F1-6EDDF23A765F}">
  <sheetPr codeName="Sheet1"/>
  <dimension ref="A1:L6"/>
  <sheetViews>
    <sheetView workbookViewId="0">
      <selection activeCell="A23" sqref="A23"/>
    </sheetView>
  </sheetViews>
  <sheetFormatPr defaultRowHeight="15" x14ac:dyDescent="0.25"/>
  <cols>
    <col min="1" max="1" width="18.28515625" bestFit="1" customWidth="1"/>
    <col min="2" max="2" width="9" bestFit="1" customWidth="1"/>
    <col min="3" max="3" width="12.42578125" bestFit="1" customWidth="1"/>
    <col min="4" max="4" width="11.28515625" bestFit="1" customWidth="1"/>
    <col min="5" max="5" width="16.85546875" bestFit="1" customWidth="1"/>
    <col min="6" max="7" width="10.42578125" bestFit="1" customWidth="1"/>
    <col min="8" max="8" width="13.5703125" bestFit="1" customWidth="1"/>
    <col min="9" max="9" width="27.5703125" bestFit="1" customWidth="1"/>
    <col min="10" max="10" width="17.140625" bestFit="1" customWidth="1"/>
    <col min="11" max="11" width="19.28515625" bestFit="1" customWidth="1"/>
    <col min="12" max="12" width="17" bestFit="1" customWidth="1"/>
    <col min="13" max="13" width="10.7109375" bestFit="1" customWidth="1"/>
    <col min="14" max="14" width="18.28515625" bestFit="1" customWidth="1"/>
    <col min="15" max="15" width="18.5703125" bestFit="1" customWidth="1"/>
    <col min="16" max="16" width="8.85546875" bestFit="1" customWidth="1"/>
    <col min="17" max="17" width="15.28515625" bestFit="1" customWidth="1"/>
    <col min="18" max="18" width="48.85546875" bestFit="1" customWidth="1"/>
    <col min="19" max="19" width="12" bestFit="1" customWidth="1"/>
    <col min="20" max="21" width="10.42578125" bestFit="1" customWidth="1"/>
    <col min="22" max="22" width="79.42578125" bestFit="1" customWidth="1"/>
    <col min="23" max="23" width="29.42578125" bestFit="1" customWidth="1"/>
    <col min="24" max="24" width="10.42578125" bestFit="1" customWidth="1"/>
    <col min="25" max="25" width="9.85546875" bestFit="1" customWidth="1"/>
    <col min="26" max="26" width="25.5703125" bestFit="1" customWidth="1"/>
  </cols>
  <sheetData>
    <row r="1" spans="1:12" x14ac:dyDescent="0.25">
      <c r="A1" t="s">
        <v>101</v>
      </c>
      <c r="B1" t="s">
        <v>102</v>
      </c>
      <c r="C1" t="s">
        <v>103</v>
      </c>
      <c r="D1" t="s">
        <v>104</v>
      </c>
      <c r="E1" t="s">
        <v>105</v>
      </c>
      <c r="F1" t="s">
        <v>13</v>
      </c>
      <c r="G1" t="s">
        <v>3</v>
      </c>
      <c r="H1" t="s">
        <v>106</v>
      </c>
      <c r="I1" t="s">
        <v>107</v>
      </c>
      <c r="J1" t="s">
        <v>68</v>
      </c>
      <c r="K1" t="s">
        <v>6</v>
      </c>
      <c r="L1" t="s">
        <v>108</v>
      </c>
    </row>
    <row r="2" spans="1:12" x14ac:dyDescent="0.25">
      <c r="A2" t="s">
        <v>63</v>
      </c>
      <c r="B2" t="s">
        <v>118</v>
      </c>
      <c r="C2" t="s">
        <v>119</v>
      </c>
      <c r="D2" t="s">
        <v>120</v>
      </c>
      <c r="E2" t="s">
        <v>121</v>
      </c>
      <c r="F2" t="s">
        <v>122</v>
      </c>
      <c r="G2" t="s">
        <v>123</v>
      </c>
      <c r="H2" t="s">
        <v>124</v>
      </c>
      <c r="I2" t="s">
        <v>125</v>
      </c>
      <c r="J2" t="s">
        <v>126</v>
      </c>
      <c r="K2" t="s">
        <v>109</v>
      </c>
      <c r="L2" t="s">
        <v>127</v>
      </c>
    </row>
    <row r="3" spans="1:12" x14ac:dyDescent="0.25">
      <c r="A3" t="s">
        <v>30</v>
      </c>
      <c r="B3" t="s">
        <v>118</v>
      </c>
      <c r="C3" t="s">
        <v>128</v>
      </c>
      <c r="D3" t="s">
        <v>129</v>
      </c>
      <c r="E3" t="s">
        <v>130</v>
      </c>
      <c r="F3" t="s">
        <v>131</v>
      </c>
      <c r="G3" t="s">
        <v>132</v>
      </c>
      <c r="H3" t="s">
        <v>124</v>
      </c>
      <c r="I3" t="s">
        <v>133</v>
      </c>
      <c r="J3" t="s">
        <v>134</v>
      </c>
      <c r="K3" t="s">
        <v>109</v>
      </c>
      <c r="L3" t="s">
        <v>30</v>
      </c>
    </row>
    <row r="4" spans="1:12" x14ac:dyDescent="0.25">
      <c r="A4" t="s">
        <v>31</v>
      </c>
      <c r="B4" t="s">
        <v>118</v>
      </c>
      <c r="C4" t="s">
        <v>119</v>
      </c>
      <c r="D4" t="s">
        <v>120</v>
      </c>
      <c r="E4" t="s">
        <v>131</v>
      </c>
      <c r="F4" t="s">
        <v>136</v>
      </c>
      <c r="G4" t="s">
        <v>137</v>
      </c>
      <c r="H4" t="s">
        <v>124</v>
      </c>
      <c r="I4" t="s">
        <v>138</v>
      </c>
      <c r="J4" t="s">
        <v>126</v>
      </c>
      <c r="K4" t="s">
        <v>109</v>
      </c>
      <c r="L4" t="s">
        <v>139</v>
      </c>
    </row>
    <row r="5" spans="1:12" x14ac:dyDescent="0.25">
      <c r="A5" t="s">
        <v>62</v>
      </c>
      <c r="B5" t="s">
        <v>118</v>
      </c>
      <c r="C5" t="s">
        <v>119</v>
      </c>
      <c r="D5" t="s">
        <v>120</v>
      </c>
      <c r="E5" t="s">
        <v>121</v>
      </c>
      <c r="F5" t="s">
        <v>122</v>
      </c>
      <c r="G5" t="s">
        <v>123</v>
      </c>
      <c r="H5" t="s">
        <v>124</v>
      </c>
      <c r="I5" t="s">
        <v>125</v>
      </c>
      <c r="J5" t="s">
        <v>126</v>
      </c>
      <c r="K5" t="s">
        <v>109</v>
      </c>
      <c r="L5" t="s">
        <v>140</v>
      </c>
    </row>
    <row r="6" spans="1:12" x14ac:dyDescent="0.25">
      <c r="A6" t="s">
        <v>60</v>
      </c>
      <c r="B6" t="s">
        <v>118</v>
      </c>
      <c r="C6" t="s">
        <v>128</v>
      </c>
      <c r="D6" t="s">
        <v>129</v>
      </c>
      <c r="E6" t="s">
        <v>130</v>
      </c>
      <c r="F6" t="s">
        <v>131</v>
      </c>
      <c r="G6" t="s">
        <v>132</v>
      </c>
      <c r="H6" t="s">
        <v>124</v>
      </c>
      <c r="I6" t="s">
        <v>133</v>
      </c>
      <c r="J6" t="s">
        <v>134</v>
      </c>
      <c r="K6" t="s">
        <v>109</v>
      </c>
      <c r="L6" t="s">
        <v>141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71C70-5879-47DF-9070-3F9359A78027}">
  <sheetPr codeName="Sheet3"/>
  <dimension ref="A1:G7"/>
  <sheetViews>
    <sheetView workbookViewId="0">
      <selection activeCell="E5" sqref="E5"/>
    </sheetView>
  </sheetViews>
  <sheetFormatPr defaultRowHeight="15" x14ac:dyDescent="0.25"/>
  <cols>
    <col min="1" max="1" width="5" bestFit="1" customWidth="1"/>
    <col min="2" max="2" width="7.7109375" bestFit="1" customWidth="1"/>
    <col min="3" max="3" width="15.7109375" bestFit="1" customWidth="1"/>
    <col min="4" max="4" width="14" bestFit="1" customWidth="1"/>
    <col min="5" max="5" width="68.28515625" bestFit="1" customWidth="1"/>
    <col min="6" max="6" width="8.7109375" bestFit="1" customWidth="1"/>
    <col min="7" max="7" width="18.28515625" bestFit="1" customWidth="1"/>
  </cols>
  <sheetData>
    <row r="1" spans="1:7" x14ac:dyDescent="0.25">
      <c r="A1" t="s">
        <v>81</v>
      </c>
      <c r="B1" t="s">
        <v>82</v>
      </c>
      <c r="C1" t="s">
        <v>83</v>
      </c>
      <c r="D1" t="s">
        <v>84</v>
      </c>
      <c r="E1" t="s">
        <v>85</v>
      </c>
      <c r="F1" t="s">
        <v>86</v>
      </c>
      <c r="G1" t="s">
        <v>87</v>
      </c>
    </row>
    <row r="2" spans="1:7" x14ac:dyDescent="0.25">
      <c r="A2" t="s">
        <v>109</v>
      </c>
      <c r="B2" t="s">
        <v>88</v>
      </c>
      <c r="C2" t="s">
        <v>23</v>
      </c>
      <c r="D2" t="s">
        <v>25</v>
      </c>
      <c r="E2" t="s">
        <v>24</v>
      </c>
      <c r="F2" t="s">
        <v>109</v>
      </c>
      <c r="G2" t="s">
        <v>110</v>
      </c>
    </row>
    <row r="3" spans="1:7" x14ac:dyDescent="0.25">
      <c r="A3" t="s">
        <v>111</v>
      </c>
      <c r="B3" t="s">
        <v>26</v>
      </c>
      <c r="C3" t="s">
        <v>26</v>
      </c>
      <c r="D3" t="s">
        <v>27</v>
      </c>
      <c r="E3" t="s">
        <v>89</v>
      </c>
      <c r="F3" t="s">
        <v>109</v>
      </c>
      <c r="G3" t="s">
        <v>110</v>
      </c>
    </row>
    <row r="4" spans="1:7" x14ac:dyDescent="0.25">
      <c r="A4" t="s">
        <v>112</v>
      </c>
      <c r="B4" t="s">
        <v>29</v>
      </c>
      <c r="C4" t="s">
        <v>90</v>
      </c>
      <c r="D4" t="s">
        <v>18</v>
      </c>
      <c r="E4" t="s">
        <v>91</v>
      </c>
      <c r="F4" t="s">
        <v>109</v>
      </c>
      <c r="G4" t="s">
        <v>110</v>
      </c>
    </row>
    <row r="5" spans="1:7" x14ac:dyDescent="0.25">
      <c r="A5" t="s">
        <v>113</v>
      </c>
      <c r="B5" t="s">
        <v>92</v>
      </c>
      <c r="C5" t="s">
        <v>19</v>
      </c>
      <c r="D5" t="s">
        <v>20</v>
      </c>
      <c r="E5" t="s">
        <v>93</v>
      </c>
      <c r="F5" t="s">
        <v>109</v>
      </c>
      <c r="G5" t="s">
        <v>110</v>
      </c>
    </row>
    <row r="6" spans="1:7" x14ac:dyDescent="0.25">
      <c r="A6" t="s">
        <v>114</v>
      </c>
      <c r="B6" t="s">
        <v>94</v>
      </c>
      <c r="C6" t="s">
        <v>21</v>
      </c>
      <c r="D6" t="s">
        <v>22</v>
      </c>
      <c r="E6" t="s">
        <v>115</v>
      </c>
      <c r="F6" t="s">
        <v>109</v>
      </c>
      <c r="G6" t="s">
        <v>110</v>
      </c>
    </row>
    <row r="7" spans="1:7" x14ac:dyDescent="0.25">
      <c r="A7" t="s">
        <v>116</v>
      </c>
      <c r="B7" t="s">
        <v>95</v>
      </c>
      <c r="C7" t="s">
        <v>28</v>
      </c>
      <c r="D7" t="s">
        <v>69</v>
      </c>
      <c r="E7" t="s">
        <v>117</v>
      </c>
      <c r="F7" t="s">
        <v>109</v>
      </c>
      <c r="G7" t="s">
        <v>110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72B15-5EBF-458C-8697-CF9BD4F6A8AF}">
  <sheetPr codeName="Sheet4"/>
  <dimension ref="A1:K11"/>
  <sheetViews>
    <sheetView workbookViewId="0">
      <selection activeCell="D27" sqref="D27"/>
    </sheetView>
  </sheetViews>
  <sheetFormatPr defaultRowHeight="15" x14ac:dyDescent="0.25"/>
  <cols>
    <col min="1" max="1" width="19" bestFit="1" customWidth="1"/>
    <col min="2" max="2" width="10.42578125" bestFit="1" customWidth="1"/>
    <col min="3" max="3" width="9.7109375" customWidth="1"/>
  </cols>
  <sheetData>
    <row r="1" spans="1:11" x14ac:dyDescent="0.25">
      <c r="A1" s="95" t="s">
        <v>96</v>
      </c>
      <c r="B1" s="96"/>
      <c r="C1" s="96"/>
      <c r="D1" s="96"/>
      <c r="E1" s="96"/>
      <c r="F1" s="96"/>
      <c r="G1" s="96"/>
      <c r="H1" s="96"/>
      <c r="I1" s="96"/>
      <c r="J1" s="96"/>
      <c r="K1" s="97"/>
    </row>
    <row r="2" spans="1:11" x14ac:dyDescent="0.25">
      <c r="A2" s="63" t="s">
        <v>97</v>
      </c>
      <c r="B2" s="91" t="s">
        <v>99</v>
      </c>
      <c r="C2" s="91"/>
      <c r="D2" s="91"/>
      <c r="E2" s="91"/>
      <c r="F2" s="91"/>
      <c r="G2" s="91"/>
      <c r="H2" s="91"/>
      <c r="I2" s="91"/>
      <c r="J2" s="91"/>
      <c r="K2" s="92"/>
    </row>
    <row r="3" spans="1:11" ht="15.75" thickBot="1" x14ac:dyDescent="0.3">
      <c r="A3" s="65" t="s">
        <v>98</v>
      </c>
      <c r="B3" s="93" t="s">
        <v>100</v>
      </c>
      <c r="C3" s="93"/>
      <c r="D3" s="93"/>
      <c r="E3" s="93"/>
      <c r="F3" s="93"/>
      <c r="G3" s="93"/>
      <c r="H3" s="93"/>
      <c r="I3" s="93"/>
      <c r="J3" s="93"/>
      <c r="K3" s="94"/>
    </row>
    <row r="6" spans="1:11" ht="15.75" thickBot="1" x14ac:dyDescent="0.3"/>
    <row r="7" spans="1:11" ht="15.75" thickBot="1" x14ac:dyDescent="0.3">
      <c r="A7" s="88" t="s">
        <v>80</v>
      </c>
      <c r="B7" s="89"/>
      <c r="C7" s="89"/>
      <c r="D7" s="89"/>
      <c r="E7" s="89"/>
      <c r="F7" s="90"/>
    </row>
    <row r="8" spans="1:11" x14ac:dyDescent="0.25">
      <c r="A8" s="68" t="s">
        <v>16</v>
      </c>
      <c r="B8" s="69" t="s">
        <v>74</v>
      </c>
      <c r="C8" s="69" t="s">
        <v>75</v>
      </c>
      <c r="D8" s="69"/>
      <c r="E8" s="69"/>
      <c r="F8" s="70"/>
    </row>
    <row r="9" spans="1:11" x14ac:dyDescent="0.25">
      <c r="A9" s="63" t="s">
        <v>15</v>
      </c>
      <c r="B9" s="62" t="s">
        <v>76</v>
      </c>
      <c r="C9" s="62" t="s">
        <v>77</v>
      </c>
      <c r="D9" s="62" t="s">
        <v>75</v>
      </c>
      <c r="E9" s="62"/>
      <c r="F9" s="64"/>
    </row>
    <row r="10" spans="1:11" x14ac:dyDescent="0.25">
      <c r="A10" s="63" t="s">
        <v>71</v>
      </c>
      <c r="B10" s="62" t="s">
        <v>74</v>
      </c>
      <c r="C10" s="62" t="s">
        <v>75</v>
      </c>
      <c r="D10" s="62"/>
      <c r="E10" s="62"/>
      <c r="F10" s="64"/>
    </row>
    <row r="11" spans="1:11" ht="15.75" thickBot="1" x14ac:dyDescent="0.3">
      <c r="A11" s="65" t="s">
        <v>73</v>
      </c>
      <c r="B11" s="66" t="s">
        <v>74</v>
      </c>
      <c r="C11" s="66" t="s">
        <v>75</v>
      </c>
      <c r="D11" s="66"/>
      <c r="E11" s="66"/>
      <c r="F11" s="67"/>
    </row>
  </sheetData>
  <mergeCells count="4">
    <mergeCell ref="A7:F7"/>
    <mergeCell ref="B2:K2"/>
    <mergeCell ref="B3:K3"/>
    <mergeCell ref="A1:K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FB74563-C5A8-4129-A982-114B7DA4FC4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Dashboard</vt:lpstr>
      <vt:lpstr>Extra</vt:lpstr>
      <vt:lpstr>Main Purchase List</vt:lpstr>
      <vt:lpstr>BL Tracking List</vt:lpstr>
      <vt:lpstr>Shipping Line List</vt:lpstr>
      <vt:lpstr>Settings</vt:lpstr>
      <vt:lpstr>ShippingNames</vt:lpstr>
      <vt:lpstr>TodayValue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Zaid</dc:creator>
  <cp:lastModifiedBy>Zaid Marfani</cp:lastModifiedBy>
  <cp:lastPrinted>2025-12-22T12:41:34Z</cp:lastPrinted>
  <dcterms:created xsi:type="dcterms:W3CDTF">2025-07-18T15:59:31Z</dcterms:created>
  <dcterms:modified xsi:type="dcterms:W3CDTF">2025-12-30T15:03:46Z</dcterms:modified>
</cp:coreProperties>
</file>