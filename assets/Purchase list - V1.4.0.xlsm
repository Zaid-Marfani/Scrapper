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3AC5B7C0-C08F-4261-84CE-E78B91588805}" xr6:coauthVersionLast="47" xr6:coauthVersionMax="47" xr10:uidLastSave="{00000000-0000-0000-0000-000000000000}"/>
  <bookViews>
    <workbookView xWindow="-120" yWindow="-120" windowWidth="29040" windowHeight="15720" activeTab="1" xr2:uid="{194701B8-D3D9-4ED5-9154-204D66C0D187}"/>
  </bookViews>
  <sheets>
    <sheet name="Dashboard" sheetId="19" r:id="rId1"/>
    <sheet name="Main Purchase List" sheetId="30" r:id="rId2"/>
    <sheet name="BL Tracking List" sheetId="33" r:id="rId3"/>
    <sheet name="Shipping Line List" sheetId="35" r:id="rId4"/>
    <sheet name="Settings" sheetId="34" r:id="rId5"/>
    <sheet name="Extra" sheetId="9" state="hidden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2" hidden="1">'BL Tracking List'!$A$1:$L$21</definedName>
    <definedName name="ExternalData_1" localSheetId="3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8" i="30"/>
  <c r="O19" i="30"/>
  <c r="O20" i="30"/>
  <c r="O21" i="30"/>
  <c r="O22" i="30"/>
  <c r="O17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J5" i="30" l="1"/>
  <c r="J8" i="30"/>
  <c r="J9" i="30"/>
  <c r="J13" i="30"/>
  <c r="J6" i="30"/>
  <c r="J7" i="30"/>
  <c r="J10" i="30"/>
  <c r="J11" i="30"/>
  <c r="J12" i="30"/>
  <c r="J14" i="30"/>
  <c r="J17" i="30"/>
  <c r="J15" i="30"/>
  <c r="J16" i="30"/>
  <c r="J19" i="30"/>
  <c r="J20" i="30"/>
  <c r="J21" i="30"/>
  <c r="J22" i="30"/>
  <c r="J23" i="30"/>
  <c r="J18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AD6" i="30" l="1"/>
  <c r="AF6" i="30" s="1"/>
  <c r="M5" i="30"/>
  <c r="AD7" i="30"/>
  <c r="AF7" i="30" s="1"/>
  <c r="AD8" i="30"/>
  <c r="AF8" i="30" s="1"/>
  <c r="M10" i="30"/>
  <c r="M11" i="30"/>
  <c r="M12" i="30"/>
  <c r="AD9" i="30"/>
  <c r="AF9" i="30" s="1"/>
  <c r="M13" i="30"/>
  <c r="M14" i="30"/>
  <c r="AD17" i="30"/>
  <c r="AF17" i="30" s="1"/>
  <c r="AD15" i="30"/>
  <c r="AF15" i="30" s="1"/>
  <c r="M16" i="30"/>
  <c r="M19" i="30"/>
  <c r="M20" i="30"/>
  <c r="AD21" i="30"/>
  <c r="AF21" i="30" s="1"/>
  <c r="M22" i="30"/>
  <c r="M23" i="30"/>
  <c r="AD18" i="30"/>
  <c r="AF18" i="30" s="1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U6" i="30"/>
  <c r="U5" i="30"/>
  <c r="U7" i="30"/>
  <c r="U8" i="30"/>
  <c r="U10" i="30"/>
  <c r="U11" i="30"/>
  <c r="U12" i="30"/>
  <c r="U9" i="30"/>
  <c r="U13" i="30"/>
  <c r="U14" i="30"/>
  <c r="U17" i="30"/>
  <c r="U15" i="30"/>
  <c r="U16" i="30"/>
  <c r="U19" i="30"/>
  <c r="U20" i="30"/>
  <c r="U21" i="30"/>
  <c r="U22" i="30"/>
  <c r="U23" i="30"/>
  <c r="V23" i="30" s="1"/>
  <c r="U18" i="30"/>
  <c r="U24" i="30"/>
  <c r="U25" i="30"/>
  <c r="V25" i="30" s="1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V24" i="30"/>
  <c r="L6" i="30"/>
  <c r="L5" i="30"/>
  <c r="L7" i="30"/>
  <c r="L8" i="30"/>
  <c r="L10" i="30"/>
  <c r="L11" i="30"/>
  <c r="L12" i="30"/>
  <c r="L9" i="30"/>
  <c r="L13" i="30"/>
  <c r="L14" i="30"/>
  <c r="L17" i="30"/>
  <c r="L15" i="30"/>
  <c r="L16" i="30"/>
  <c r="L19" i="30"/>
  <c r="L20" i="30"/>
  <c r="L21" i="30"/>
  <c r="L22" i="30"/>
  <c r="L23" i="30"/>
  <c r="L18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AG6" i="30" a="1"/>
  <c r="AG6" i="30" s="1"/>
  <c r="AG5" i="30" a="1"/>
  <c r="AG5" i="30" s="1"/>
  <c r="AG7" i="30" a="1"/>
  <c r="AG7" i="30" s="1"/>
  <c r="AG8" i="30" a="1"/>
  <c r="AG8" i="30" s="1"/>
  <c r="AG10" i="30" a="1"/>
  <c r="AG10" i="30" s="1"/>
  <c r="AG11" i="30" a="1"/>
  <c r="AG11" i="30" s="1"/>
  <c r="AG12" i="30" a="1"/>
  <c r="AG12" i="30" s="1"/>
  <c r="AG9" i="30" a="1"/>
  <c r="AG9" i="30" s="1"/>
  <c r="AG13" i="30" a="1"/>
  <c r="AG13" i="30" s="1"/>
  <c r="AG14" i="30" a="1"/>
  <c r="AG14" i="30" s="1"/>
  <c r="AG17" i="30" a="1"/>
  <c r="AG17" i="30" s="1"/>
  <c r="AG15" i="30" a="1"/>
  <c r="AG15" i="30" s="1"/>
  <c r="AG16" i="30" a="1"/>
  <c r="AG16" i="30" s="1"/>
  <c r="AG19" i="30" a="1"/>
  <c r="AG19" i="30" s="1"/>
  <c r="AG20" i="30" a="1"/>
  <c r="AG20" i="30" s="1"/>
  <c r="AG21" i="30" a="1"/>
  <c r="AG21" i="30" s="1"/>
  <c r="AG22" i="30" a="1"/>
  <c r="AG22" i="30" s="1"/>
  <c r="AG23" i="30" a="1"/>
  <c r="AG23" i="30" s="1"/>
  <c r="AG18" i="30" a="1"/>
  <c r="AG18" i="30" s="1"/>
  <c r="AE6" i="30"/>
  <c r="AE5" i="30"/>
  <c r="AE7" i="30"/>
  <c r="AE8" i="30"/>
  <c r="AE10" i="30"/>
  <c r="AE11" i="30"/>
  <c r="AE12" i="30"/>
  <c r="AE9" i="30"/>
  <c r="AE13" i="30"/>
  <c r="AE14" i="30"/>
  <c r="AE17" i="30"/>
  <c r="AE15" i="30"/>
  <c r="AE16" i="30"/>
  <c r="AE19" i="30"/>
  <c r="AE20" i="30"/>
  <c r="AE21" i="30"/>
  <c r="AE22" i="30"/>
  <c r="AE23" i="30"/>
  <c r="AE18" i="30"/>
  <c r="N6" i="30"/>
  <c r="N5" i="30"/>
  <c r="N7" i="30"/>
  <c r="N8" i="30"/>
  <c r="N10" i="30"/>
  <c r="N11" i="30"/>
  <c r="V11" i="30" s="1"/>
  <c r="N12" i="30"/>
  <c r="N9" i="30"/>
  <c r="N13" i="30"/>
  <c r="N14" i="30"/>
  <c r="N17" i="30"/>
  <c r="N15" i="30"/>
  <c r="N16" i="30"/>
  <c r="N19" i="30"/>
  <c r="N20" i="30"/>
  <c r="N21" i="30"/>
  <c r="N22" i="30"/>
  <c r="N23" i="30"/>
  <c r="N18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AD13" i="30"/>
  <c r="AF13" i="30" s="1"/>
  <c r="K6" i="30"/>
  <c r="K5" i="30"/>
  <c r="K7" i="30"/>
  <c r="K8" i="30"/>
  <c r="K10" i="30"/>
  <c r="K11" i="30"/>
  <c r="K12" i="30"/>
  <c r="K9" i="30"/>
  <c r="K13" i="30"/>
  <c r="K14" i="30"/>
  <c r="K17" i="30"/>
  <c r="K15" i="30"/>
  <c r="K16" i="30"/>
  <c r="K19" i="30"/>
  <c r="K20" i="30"/>
  <c r="K21" i="30"/>
  <c r="K22" i="30"/>
  <c r="K23" i="30"/>
  <c r="K18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V6" i="30" l="1"/>
  <c r="V18" i="30"/>
  <c r="AD16" i="30"/>
  <c r="AF16" i="30" s="1"/>
  <c r="AD10" i="30"/>
  <c r="AF10" i="30" s="1"/>
  <c r="AD14" i="30"/>
  <c r="AF14" i="30" s="1"/>
  <c r="V17" i="30"/>
  <c r="V7" i="30"/>
  <c r="V20" i="30"/>
  <c r="V12" i="30"/>
  <c r="V14" i="30"/>
  <c r="V5" i="30"/>
  <c r="V22" i="30"/>
  <c r="V13" i="30"/>
  <c r="M6" i="30"/>
  <c r="V21" i="30"/>
  <c r="V9" i="30"/>
  <c r="V19" i="30"/>
  <c r="M21" i="30"/>
  <c r="V16" i="30"/>
  <c r="V10" i="30"/>
  <c r="V15" i="30"/>
  <c r="V8" i="30"/>
  <c r="AD5" i="30"/>
  <c r="AF5" i="30" s="1"/>
  <c r="M9" i="30"/>
  <c r="AD23" i="30"/>
  <c r="AF23" i="30" s="1"/>
  <c r="AD20" i="30"/>
  <c r="AF20" i="30" s="1"/>
  <c r="AD22" i="30"/>
  <c r="AF22" i="30" s="1"/>
  <c r="AD12" i="30"/>
  <c r="AF12" i="30" s="1"/>
  <c r="M15" i="30"/>
  <c r="M8" i="30"/>
  <c r="M18" i="30"/>
  <c r="M17" i="30"/>
  <c r="M7" i="30"/>
  <c r="AD19" i="30"/>
  <c r="AF19" i="30" s="1"/>
  <c r="AD11" i="30"/>
  <c r="AF11" i="30" s="1"/>
  <c r="AH20" i="30"/>
  <c r="AH12" i="30"/>
  <c r="AH19" i="30"/>
  <c r="AH11" i="30"/>
  <c r="AH6" i="30"/>
  <c r="AH21" i="30"/>
  <c r="AH9" i="30"/>
  <c r="AH18" i="30"/>
  <c r="AH17" i="30"/>
  <c r="AH7" i="30"/>
  <c r="AH15" i="30"/>
  <c r="AH8" i="30"/>
  <c r="AH22" i="30"/>
  <c r="AH13" i="30"/>
  <c r="AH16" i="30"/>
  <c r="AH23" i="30"/>
  <c r="AH14" i="30"/>
  <c r="AH5" i="30"/>
  <c r="AH10" i="30"/>
  <c r="G4" i="9" a="1"/>
  <c r="G4" i="9" s="1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I40" i="30"/>
  <c r="I1" i="30" s="1"/>
  <c r="AG24" i="30" a="1"/>
  <c r="AG24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H72" i="9" l="1" a="1"/>
  <c r="H72" i="9" s="1"/>
  <c r="AH40" i="30"/>
  <c r="K1" i="30" s="1"/>
  <c r="L40" i="30"/>
  <c r="P33" i="30"/>
  <c r="P25" i="30"/>
  <c r="P24" i="30"/>
  <c r="P32" i="30"/>
  <c r="P39" i="30"/>
  <c r="P30" i="30"/>
  <c r="P29" i="30"/>
  <c r="P31" i="30"/>
  <c r="P38" i="30"/>
  <c r="P37" i="30"/>
  <c r="P28" i="30"/>
  <c r="P36" i="30"/>
  <c r="P27" i="30"/>
  <c r="P35" i="30"/>
  <c r="P34" i="30"/>
  <c r="P26" i="30"/>
  <c r="T40" i="30"/>
  <c r="T1" i="30" s="1"/>
  <c r="R40" i="30"/>
  <c r="Q1" i="30" s="1"/>
  <c r="Q40" i="30"/>
  <c r="P1" i="30" s="1"/>
  <c r="U40" i="30" l="1"/>
  <c r="U1" i="30" s="1"/>
  <c r="AE24" i="30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D24" i="30"/>
  <c r="AF24" i="30" s="1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K1" i="9"/>
  <c r="W5" i="30" l="1" a="1"/>
  <c r="W5" i="30" s="1"/>
  <c r="W13" i="30" a="1"/>
  <c r="W13" i="30" s="1"/>
  <c r="W22" i="30" a="1"/>
  <c r="W22" i="30" s="1"/>
  <c r="W29" i="30" a="1"/>
  <c r="W29" i="30" s="1"/>
  <c r="W37" i="30" a="1"/>
  <c r="W37" i="30" s="1"/>
  <c r="W20" i="30" a="1"/>
  <c r="W20" i="30" s="1"/>
  <c r="W31" i="30" a="1"/>
  <c r="W31" i="30" s="1"/>
  <c r="W16" i="30" a="1"/>
  <c r="W16" i="30" s="1"/>
  <c r="W32" i="30" a="1"/>
  <c r="W32" i="30" s="1"/>
  <c r="W36" i="30" a="1"/>
  <c r="W36" i="30" s="1"/>
  <c r="W9" i="30" a="1"/>
  <c r="W9" i="30" s="1"/>
  <c r="W18" i="30" a="1"/>
  <c r="W18" i="30" s="1"/>
  <c r="W25" i="30" a="1"/>
  <c r="W25" i="30" s="1"/>
  <c r="W33" i="30" a="1"/>
  <c r="W33" i="30" s="1"/>
  <c r="W7" i="30" a="1"/>
  <c r="W7" i="30" s="1"/>
  <c r="W23" i="30" a="1"/>
  <c r="W23" i="30" s="1"/>
  <c r="W35" i="30" a="1"/>
  <c r="W35" i="30" s="1"/>
  <c r="W12" i="30" a="1"/>
  <c r="W12" i="30" s="1"/>
  <c r="W28" i="30" a="1"/>
  <c r="W28" i="30" s="1"/>
  <c r="W10" i="30" a="1"/>
  <c r="W10" i="30" s="1"/>
  <c r="W14" i="30" a="1"/>
  <c r="W14" i="30" s="1"/>
  <c r="W17" i="30" a="1"/>
  <c r="W17" i="30" s="1"/>
  <c r="W30" i="30" a="1"/>
  <c r="W30" i="30" s="1"/>
  <c r="W38" i="30" a="1"/>
  <c r="W38" i="30" s="1"/>
  <c r="W15" i="30" a="1"/>
  <c r="W15" i="30" s="1"/>
  <c r="W39" i="30" a="1"/>
  <c r="W39" i="30" s="1"/>
  <c r="W8" i="30" a="1"/>
  <c r="W8" i="30" s="1"/>
  <c r="W24" i="30" a="1"/>
  <c r="W24" i="30" s="1"/>
  <c r="W6" i="30" a="1"/>
  <c r="W6" i="30" s="1"/>
  <c r="W19" i="30" a="1"/>
  <c r="W19" i="30" s="1"/>
  <c r="W26" i="30" a="1"/>
  <c r="W26" i="30" s="1"/>
  <c r="W34" i="30" a="1"/>
  <c r="W34" i="30" s="1"/>
  <c r="W11" i="30" a="1"/>
  <c r="W11" i="30" s="1"/>
  <c r="W27" i="30" a="1"/>
  <c r="W27" i="30" s="1"/>
  <c r="W21" i="30" a="1"/>
  <c r="W21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<sst xmlns="http://schemas.openxmlformats.org/spreadsheetml/2006/main" count="409" uniqueCount="218">
  <si>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</si>
  <si>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</si>
  <si>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</si>
  <si>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</si>
  <si>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</si>
  <si>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</si>
  <si>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</si>
  <si>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</si>
  <si>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</si>
  <si>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</si>
  <si>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</si>
  <si>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</si>
  <si>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</si>
  <si>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</si>
  <si>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</si>
  <si>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</si>
  <si>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</si>
  <si>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</si>
  <si>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</si>
  <si>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</si>
  <si>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</si>
  <si>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</si>
  <si>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</si>
  <si>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</si>
  <si>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</si>
  <si>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</si>
  <si>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</si>
  <si>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</si>
  <si>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</si>
  <si>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</si>
  <si>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</si>
  <si>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</si>
  <si>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</si>
  <si>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</si>
  <si>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</si>
  <si>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</si>
  <si>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</si>
  <si>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</si>
  <si>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</si>
  <si>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</si>
  <si>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</si>
  <si>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</si>
  <si>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</si>
  <si>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</si>
  <si>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</si>
  <si>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</si>
  <si>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</si>
  <si>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</si>
  <si>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</si>
  <si>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</si>
  <si>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</si>
  <si>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</si>
  <si>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</si>
  <si>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</si>
  <si>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</si>
  <si>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</si>
  <si>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</si>
  <si>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</si>
  <si>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</si>
  <si>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</si>
  <si>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</si>
  <si>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</si>
  <si>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</si>
  <si>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</si>
  <si>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</si>
  <si>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</si>
  <si>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</si>
  <si>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</si>
  <si>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</si>
  <si>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</si>
  <si>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</si>
  <si>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</si>
  <si>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</si>
  <si>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</si>
  <si>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</si>
  <si>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</si>
  <si>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</si>
  <si>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</si>
  <si>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</si>
  <si>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</si>
  <si>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</si>
  <si>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</si>
  <si>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</si>
  <si>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</si>
  <si>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</si>
  <si>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</si>
  <si>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</si>
  <si>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</si>
  <si>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</si>
  <si>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</si>
  <si>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</si>
  <si>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</si>
  <si>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</si>
  <si>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</si>
  <si>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</si>
  <si>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</si>
  <si>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</si>
  <si>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</si>
  <si>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</si>
  <si>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</si>
  <si>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</si>
  <si>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</si>
  <si>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</si>
  <si>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</si>
  <si>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</si>
  <si>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</si>
  <si>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</si>
  <si>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</si>
  <si>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</si>
  <si>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</si>
  <si>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</si>
  <si>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</si>
  <si>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</si>
  <si>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</si>
  <si>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</si>
  <si>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ETA_SORT</t>
  </si>
  <si>
    <t>ONEYHFAF02526500</t>
  </si>
  <si>
    <t>SNKO010251201302</t>
  </si>
  <si>
    <t>SNKO010251201301</t>
  </si>
  <si>
    <t>SNKO010251204496</t>
  </si>
  <si>
    <t>SNKO010251204497</t>
  </si>
  <si>
    <t>SNKO010251204498</t>
  </si>
  <si>
    <t>MEDUUX748368</t>
  </si>
  <si>
    <t>KMTCINC5221722</t>
  </si>
  <si>
    <t>KMTCINC5224712</t>
  </si>
  <si>
    <t>KMTCINC5221719</t>
  </si>
  <si>
    <t>EGLV588500021577</t>
  </si>
  <si>
    <t>EGLV588500021585</t>
  </si>
  <si>
    <t>EGLV588500021593</t>
  </si>
  <si>
    <t>EGLV588500021607</t>
  </si>
  <si>
    <t>KMTCINC5233563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</si>
  <si>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</si>
  <si>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</si>
  <si>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</si>
  <si>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</si>
  <si>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</si>
  <si>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</si>
  <si>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</si>
  <si>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</si>
  <si>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</si>
  <si>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</si>
  <si>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</si>
  <si>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</si>
  <si>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</si>
  <si>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</si>
  <si>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</si>
  <si>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</si>
  <si>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</si>
  <si>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</si>
  <si>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</si>
  <si>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</si>
  <si>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12-01-2026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</si>
  <si>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</si>
  <si>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</si>
  <si>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</si>
  <si>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</si>
  <si>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</si>
  <si>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</si>
  <si>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</si>
  <si>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</si>
  <si>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</si>
  <si>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</si>
  <si>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</si>
  <si>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</si>
  <si>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17-01-2026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</si>
  <si>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</si>
  <si>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</si>
  <si>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</si>
  <si>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</si>
  <si>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</si>
  <si>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</si>
  <si>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</si>
  <si>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29-11-2025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</si>
  <si>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</si>
  <si>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</si>
  <si>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</si>
  <si>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</si>
  <si>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</si>
  <si>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</si>
  <si>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</si>
  <si>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</si>
  <si>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</si>
  <si>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</si>
  <si>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</si>
  <si>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</si>
  <si>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</si>
  <si>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</si>
  <si>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13-02-2026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</si>
  <si>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</si>
  <si>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</si>
  <si>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</si>
  <si>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</si>
  <si>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</si>
  <si>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26-01-2026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</si>
  <si>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</si>
  <si>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</si>
  <si>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</si>
  <si>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</si>
  <si>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</si>
  <si>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</si>
  <si>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</si>
  <si>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</si>
  <si>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</si>
  <si>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</si>
  <si>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</si>
  <si>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</si>
  <si>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</si>
  <si>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</si>
  <si>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</si>
  <si>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</si>
  <si>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</si>
  <si>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25-01-2026</t>
  </si>
  <si>
    <t>13</t>
  </si>
  <si>
    <t>smp</t>
  </si>
  <si>
    <t>Sample</t>
  </si>
  <si>
    <t>2025-12-31 15:12:49</t>
  </si>
  <si>
    <t>Excel Version</t>
  </si>
  <si>
    <t>1.4.0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</si>
</sst>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17" xfId="0" applyFont="1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center" wrapText="1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78741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7874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7874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7874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7874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78746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7874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9525</xdr:colOff>
      <xdr:row>1</xdr:row>
      <xdr:rowOff>0</xdr:rowOff>
    </xdr:from>
    <xdr:to>
      <xdr:col>20</xdr:col>
      <xdr:colOff>409575</xdr:colOff>
      <xdr:row>4</xdr:row>
      <xdr:rowOff>4358</xdr:rowOff>
    </xdr:to>
    <xdr:sp macro="[0]!test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0696575" y="2000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</a:t>
          </a:r>
          <a:r>
            <a:rPr lang="en-US" sz="1400" b="1" baseline="0">
              <a:ln>
                <a:noFill/>
              </a:ln>
              <a:solidFill>
                <a:schemeClr val="lt1"/>
              </a:solidFill>
            </a:rPr>
            <a:t> SCRAPPER 🔄️</a:t>
          </a:r>
          <a:endParaRPr lang="en-US" sz="1400" b="1">
            <a:ln>
              <a:noFill/>
            </a:ln>
            <a:solidFill>
              <a:schemeClr val="lt1"/>
            </a:solidFill>
          </a:endParaRPr>
        </a:p>
      </xdr:txBody>
    </xdr:sp>
    <xdr:clientData/>
  </xdr:twoCellAnchor>
  <xdr:twoCellAnchor editAs="absolute">
    <xdr:from>
      <xdr:col>12</xdr:col>
      <xdr:colOff>180975</xdr:colOff>
      <xdr:row>1</xdr:row>
      <xdr:rowOff>9525</xdr:rowOff>
    </xdr:from>
    <xdr:to>
      <xdr:col>15</xdr:col>
      <xdr:colOff>581025</xdr:colOff>
      <xdr:row>4</xdr:row>
      <xdr:rowOff>13883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7820025" y="20955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17</xdr:col>
      <xdr:colOff>9524</xdr:colOff>
      <xdr:row>4</xdr:row>
      <xdr:rowOff>123825</xdr:rowOff>
    </xdr:from>
    <xdr:to>
      <xdr:col>20</xdr:col>
      <xdr:colOff>419099</xdr:colOff>
      <xdr:row>7</xdr:row>
      <xdr:rowOff>99608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10696574" y="895350"/>
          <a:ext cx="2238375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 EXCEL 🔄️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0" totalsRowCount="1" headerRowDxfId="83" dataDxfId="82" totalsRowDxfId="81">
  <autoFilter ref="A4:AH39" xr:uid="{043BDE2E-5284-45F2-B9CF-EE8BF8A1E439}"/>
  <sortState xmlns:xlrd2="http://schemas.microsoft.com/office/spreadsheetml/2017/richdata2" ref="A5:AH39">
    <sortCondition ref="M4:M40"/>
  </sortState>
  <tableColumns count="34">
    <tableColumn id="8" xr3:uid="{21673799-FE31-4C71-A127-4A2103CEB43F}" name="Buyer" dataDxfId="80" totalsRowDxfId="79"/>
    <tableColumn id="1" xr3:uid="{D852F1B4-4E55-4188-BE5F-9E5DADA368C9}" name="Supplier Code" dataDxfId="78" totalsRowDxfId="77"/>
    <tableColumn id="2" xr3:uid="{5927B451-BF56-476D-821D-C1B920451EDA}" name="Material" dataDxfId="76" totalsRowDxfId="75"/>
    <tableColumn id="23" xr3:uid="{D7182449-2D89-40A9-85A3-9952B53829E6}" name="SC / Invoice Date" dataDxfId="74" totalsRowDxfId="73"/>
    <tableColumn id="3" xr3:uid="{A0E3F02B-99C5-48E2-A5E8-915EFD751BC5}" name="SC / Invoice No." dataDxfId="72" totalsRowDxfId="71"/>
    <tableColumn id="22" xr3:uid="{1F7DE952-B9AE-40F5-9FFF-F611E6A97D0C}" name="SC Period" dataDxfId="70" totalsRowDxfId="69"/>
    <tableColumn id="4" xr3:uid="{BA8A0D79-91FB-4746-B728-FC79D550ACA8}" name="BL No" dataDxfId="68" totalsRowDxfId="67"/>
    <tableColumn id="5" xr3:uid="{21819620-98E5-4873-BC56-8370415099ED}" name="Shipping Line" dataDxfId="66" totalsRowDxfId="65"/>
    <tableColumn id="24" xr3:uid="{19B6880A-6363-4B87-A425-C019153F8FFD}" name="Weight" totalsRowFunction="sum" dataDxfId="64" totalsRowDxfId="63"/>
    <tableColumn id="25" xr3:uid="{AF5F2ACF-68D8-40CA-897B-83766D47AA3C}" name="Container No." dataDxfId="62" totalsRowDxfId="61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60" totalsRowDxfId="59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58" totalsRowDxfId="57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56" totalsRowDxfId="55">
      <calculatedColumnFormula>IF(PurchaseList_Table[[#This Row],[ETA]]="", 2958465, VALUE(PurchaseList_Table[[#This Row],[ETA]]))</calculatedColumnFormula>
    </tableColumn>
    <tableColumn id="10" xr3:uid="{7A76C0FC-793C-4C04-9EE5-0AEA22B354FE}" name="ETD" dataDxfId="54" totalsRowDxfId="53">
      <calculatedColumnFormula>_xlfn.XLOOKUP(PurchaseList_Table[[#This Row],[BL No]],ResultTable[BL], ResultTable[ETD], "")</calculatedColumnFormula>
    </tableColumn>
    <tableColumn id="9" xr3:uid="{53F344AF-6B0F-4D1F-9A03-C95F7AA276F7}" name="ETA" dataDxfId="52" totalsRowDxfId="51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50" totalsRowDxfId="49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48" totalsRowDxfId="47"/>
    <tableColumn id="12" xr3:uid="{4BF48BFF-7229-489F-9058-8A90A99FF09C}" name="Total invoice Amount" totalsRowFunction="sum" dataDxfId="46" totalsRowDxfId="45"/>
    <tableColumn id="13" xr3:uid="{2E49F1B0-CF17-4D41-BB29-5274C156AEC5}" name="Credit Period" dataDxfId="44" totalsRowDxfId="43"/>
    <tableColumn id="14" xr3:uid="{630BD1EE-9186-4991-8291-BBC3290F59E6}" name="Paid Balance amount" totalsRowFunction="sum" dataDxfId="42" totalsRowDxfId="41"/>
    <tableColumn id="15" xr3:uid="{57490D24-0844-4BA9-9668-9FE5FB49BFA9}" name="Outstanding Amount" totalsRowFunction="sum" dataDxfId="40" totalsRowDxfId="39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38" totalsRowDxfId="37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36" totalsRowDxfId="35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calculatedColumnFormula>
    </tableColumn>
    <tableColumn id="28" xr3:uid="{B1D9440A-B216-4BAB-8F17-2FC1DBF549DD}" name="CHA" dataDxfId="34" totalsRowDxfId="33"/>
    <tableColumn id="34" xr3:uid="{4FD0F5DA-1703-40A3-BBC8-92775524A99E}" name="SWB / Release" dataDxfId="32" totalsRowDxfId="31"/>
    <tableColumn id="33" xr3:uid="{36FC86B7-35EF-406B-B924-6B8B67DAB5BC}" name="PSIC" dataDxfId="30" totalsRowDxfId="29"/>
    <tableColumn id="30" xr3:uid="{8A7C84E1-A6E5-40B9-867A-B617E6714FAF}" name="SIMS" dataDxfId="28" totalsRowDxfId="27"/>
    <tableColumn id="29" xr3:uid="{22D1770A-E687-4C49-AAB4-40766A33D9DC}" name="DOCS SET" dataDxfId="26" totalsRowDxfId="25"/>
    <tableColumn id="35" xr3:uid="{18D3CA3F-0C9D-4C5D-BD9A-12E90E07A522}" name="+" dataDxfId="24" totalsRowDxfId="23"/>
    <tableColumn id="18" xr3:uid="{B4E260EE-BC84-4BE8-98BC-20941EA6502D}" name="ETA MONTH" dataDxfId="22" totalsRowDxfId="21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20" totalsRowDxfId="19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18" totalsRowDxfId="17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16" totalsRowDxfId="15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14" totalsRowDxfId="13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1" tableType="queryTable" totalsRowShown="0">
  <autoFilter ref="A1:L21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12"/>
    <tableColumn id="2" xr3:uid="{F6C4C091-6FFE-427D-A9D0-0F1051272BEF}" uniqueName="2" name="code" queryTableFieldId="2" dataDxfId="11"/>
    <tableColumn id="3" xr3:uid="{E4D40946-3AA0-4D5D-82FE-C35C2411C359}" uniqueName="3" name="display_name" queryTableFieldId="3" dataDxfId="10"/>
    <tableColumn id="4" xr3:uid="{5A500DBE-1FE8-4C84-9D2E-B3ED3E1B03AC}" uniqueName="4" name="scraper_key" queryTableFieldId="4" dataDxfId="9"/>
    <tableColumn id="5" xr3:uid="{0FDEA853-26C7-404B-87C7-B86FC2E7DBC9}" uniqueName="5" name="url" queryTableFieldId="5" dataDxfId="8"/>
    <tableColumn id="6" xr3:uid="{D89E3684-3AA8-4E47-A869-1D452A264E75}" uniqueName="6" name="active" queryTableFieldId="6" dataDxfId="7"/>
    <tableColumn id="7" xr3:uid="{08D97D60-3B2F-4A93-937D-0DFA9BAA48F0}" uniqueName="7" name="created_at" queryTableFieldId="7" dataDxfId="6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7"/>
  <sheetViews>
    <sheetView tabSelected="1" zoomScale="90" zoomScaleNormal="90" workbookViewId="0">
      <pane xSplit="15" ySplit="4" topLeftCell="Q5" activePane="bottomRight" state="frozen"/>
      <selection pane="topRight" activeCell="P1" sqref="P1"/>
      <selection pane="bottomLeft" activeCell="A5" sqref="A5"/>
      <selection pane="bottomRight" activeCell="A5" sqref="A5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1"/>
      <c r="H1" s="83"/>
      <c r="I1" s="82">
        <f>PurchaseList_Table[[#Totals], [Weight]]</f>
        <v>0</v>
      </c>
      <c r="J1" s="64"/>
      <c r="K1" s="80">
        <f>PurchaseList_Table[[#Totals], [CLN No. of cnt]]</f>
        <v>0</v>
      </c>
      <c r="L1" s="58"/>
      <c r="N1" s="58"/>
      <c r="O1" s="48"/>
      <c r="P1" s="78">
        <f>PurchaseList_Table[[#Totals], [Advance Paid]]</f>
        <v>0</v>
      </c>
      <c r="Q1" s="79">
        <f>PurchaseList_Table[[#Totals], [Total invoice Amount]]</f>
        <v>0</v>
      </c>
      <c r="R1" s="67"/>
      <c r="S1" s="47"/>
      <c r="T1" s="78">
        <f>PurchaseList_Table[[#Totals], [Paid Balance amount]]</f>
        <v>0</v>
      </c>
      <c r="U1" s="79">
        <f>PurchaseList_Table[[#Totals], [Outstanding Amount]]</f>
        <v>0</v>
      </c>
    </row>
    <row r="2" spans="1:34" s="9" customFormat="1" ht="18.75" customHeight="1" x14ac:dyDescent="0.25">
      <c r="C2" s="46"/>
      <c r="G2" s="81"/>
      <c r="H2" s="83"/>
      <c r="I2" s="80"/>
      <c r="J2" s="64"/>
      <c r="K2" s="80"/>
      <c r="L2" s="58"/>
      <c r="O2" s="48"/>
      <c r="P2" s="78"/>
      <c r="Q2" s="79"/>
      <c r="R2" s="67"/>
      <c r="S2" s="47"/>
      <c r="T2" s="78"/>
      <c r="U2" s="79"/>
    </row>
    <row r="3" spans="1:34" s="9" customFormat="1" ht="15" customHeight="1" x14ac:dyDescent="0.25">
      <c r="C3" s="46"/>
      <c r="G3" s="81"/>
      <c r="H3" s="83"/>
      <c r="I3" s="80"/>
      <c r="J3" s="64"/>
      <c r="K3" s="80"/>
      <c r="L3" s="58"/>
      <c r="O3" s="48"/>
      <c r="P3" s="78"/>
      <c r="Q3" s="79"/>
      <c r="R3" s="67"/>
      <c r="S3" s="47"/>
      <c r="T3" s="78"/>
      <c r="U3" s="79"/>
    </row>
    <row r="4" spans="1:34" s="35" customFormat="1" ht="64.5" customHeight="1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115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/>
      <c r="B5" s="36"/>
      <c r="C5" s="36"/>
      <c r="D5" s="45"/>
      <c r="E5" s="41"/>
      <c r="F5" s="59"/>
      <c r="G5" s="56"/>
      <c r="H5" s="36"/>
      <c r="I5" s="42"/>
      <c r="J5" s="61" t="str">
        <f>_xlfn.XLOOKUP(PurchaseList_Table[[#This Row],[BL No]],ResultTable[BL], ResultTable[Containers No.], "")</f>
        <v/>
      </c>
      <c r="K5" s="61" t="str">
        <f>_xlfn.XLOOKUP(PurchaseList_Table[[#This Row],[BL No]],ResultTable[BL], ResultTable[Container Type], "")</f>
        <v/>
      </c>
      <c r="L5" s="61" t="str">
        <f>_xlfn.XLOOKUP(PurchaseList_Table[[#This Row],[BL No]],ResultTable[BL], ResultTable[No. of Containers], "")</f>
        <v/>
      </c>
      <c r="M5" s="61">
        <f>IF(PurchaseList_Table[[#This Row],[ETA]]="", 2958465, VALUE(PurchaseList_Table[[#This Row],[ETA]]))</f>
        <v>2958465</v>
      </c>
      <c r="N5" s="62" t="str">
        <f>_xlfn.XLOOKUP(PurchaseList_Table[[#This Row],[BL No]],ResultTable[BL], ResultTable[ETD], "")</f>
        <v/>
      </c>
      <c r="O5" s="62" t="str">
        <f>_xlfn.XLOOKUP(
    PurchaseList_Table[[#This Row],[BL No]],
    ResultTable[BL],
    ResultTable[ETA],
    "",
    0
)</f>
        <v/>
      </c>
      <c r="P5" s="50"/>
      <c r="Q5" s="43"/>
      <c r="R5" s="43"/>
      <c r="S5" s="36"/>
      <c r="T5" s="43"/>
      <c r="U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5" s="62" t="str">
        <f>IFERROR(IF(PurchaseList_Table[[#This Row],[Outstanding Amount]]="","",
   PurchaseList_Table[[#This Row],[ETD]] + PurchaseList_Table[[#This Row],[Credit Period]]
),"")</f>
        <v/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/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/>
      <c r="B6" s="36"/>
      <c r="C6" s="36"/>
      <c r="D6" s="45"/>
      <c r="E6" s="41"/>
      <c r="F6" s="59"/>
      <c r="G6" s="56"/>
      <c r="H6" s="36"/>
      <c r="I6" s="42"/>
      <c r="J6" s="61" t="str">
        <f>_xlfn.XLOOKUP(PurchaseList_Table[[#This Row],[BL No]],ResultTable[BL], ResultTable[Containers No.], "")</f>
        <v/>
      </c>
      <c r="K6" s="61" t="str">
        <f>_xlfn.XLOOKUP(PurchaseList_Table[[#This Row],[BL No]],ResultTable[BL], ResultTable[Container Type], "")</f>
        <v/>
      </c>
      <c r="L6" s="61" t="str">
        <f>_xlfn.XLOOKUP(PurchaseList_Table[[#This Row],[BL No]],ResultTable[BL], ResultTable[No. of Containers], "")</f>
        <v/>
      </c>
      <c r="M6" s="61">
        <f>IF(PurchaseList_Table[[#This Row],[ETA]]="", 2958465, VALUE(PurchaseList_Table[[#This Row],[ETA]]))</f>
        <v>2958465</v>
      </c>
      <c r="N6" s="62" t="str">
        <f>_xlfn.XLOOKUP(PurchaseList_Table[[#This Row],[BL No]],ResultTable[BL], ResultTable[ETD], "")</f>
        <v/>
      </c>
      <c r="O6" s="62" t="str">
        <f>_xlfn.XLOOKUP(
    PurchaseList_Table[[#This Row],[BL No]],
    ResultTable[BL],
    ResultTable[ETA],
    "",
    0
)</f>
        <v/>
      </c>
      <c r="P6" s="50"/>
      <c r="Q6" s="43"/>
      <c r="R6" s="43"/>
      <c r="S6" s="36"/>
      <c r="T6" s="43"/>
      <c r="U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6" s="62" t="str">
        <f>IFERROR(IF(PurchaseList_Table[[#This Row],[Outstanding Amount]]="","",
   PurchaseList_Table[[#This Row],[ETD]] + PurchaseList_Table[[#This Row],[Credit Period]]
),"")</f>
        <v/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/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/>
      <c r="B7" s="36"/>
      <c r="C7" s="36"/>
      <c r="D7" s="45"/>
      <c r="E7" s="41"/>
      <c r="F7" s="59"/>
      <c r="G7" s="56"/>
      <c r="H7" s="36"/>
      <c r="I7" s="42"/>
      <c r="J7" s="61" t="str">
        <f>_xlfn.XLOOKUP(PurchaseList_Table[[#This Row],[BL No]],ResultTable[BL], ResultTable[Containers No.], "")</f>
        <v/>
      </c>
      <c r="K7" s="61" t="str">
        <f>_xlfn.XLOOKUP(PurchaseList_Table[[#This Row],[BL No]],ResultTable[BL], ResultTable[Container Type], "")</f>
        <v/>
      </c>
      <c r="L7" s="61" t="str">
        <f>_xlfn.XLOOKUP(PurchaseList_Table[[#This Row],[BL No]],ResultTable[BL], ResultTable[No. of Containers], "")</f>
        <v/>
      </c>
      <c r="M7" s="61">
        <f>IF(PurchaseList_Table[[#This Row],[ETA]]="", 2958465, VALUE(PurchaseList_Table[[#This Row],[ETA]]))</f>
        <v>2958465</v>
      </c>
      <c r="N7" s="62" t="str">
        <f>_xlfn.XLOOKUP(PurchaseList_Table[[#This Row],[BL No]],ResultTable[BL], ResultTable[ETD], "")</f>
        <v/>
      </c>
      <c r="O7" s="62" t="str">
        <f>_xlfn.XLOOKUP(
    PurchaseList_Table[[#This Row],[BL No]],
    ResultTable[BL],
    ResultTable[ETA],
    "",
    0
)</f>
        <v/>
      </c>
      <c r="P7" s="50"/>
      <c r="Q7" s="43"/>
      <c r="R7" s="43"/>
      <c r="S7" s="36"/>
      <c r="T7" s="43"/>
      <c r="U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7" s="62" t="str">
        <f>IFERROR(IF(PurchaseList_Table[[#This Row],[Outstanding Amount]]="","",
   PurchaseList_Table[[#This Row],[ETD]] + PurchaseList_Table[[#This Row],[Credit Period]]
),"")</f>
        <v/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/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/>
      <c r="B8" s="36"/>
      <c r="C8" s="36"/>
      <c r="D8" s="45"/>
      <c r="E8" s="41"/>
      <c r="F8" s="59"/>
      <c r="G8" s="56"/>
      <c r="H8" s="36"/>
      <c r="I8" s="42"/>
      <c r="J8" s="61" t="str">
        <f>_xlfn.XLOOKUP(PurchaseList_Table[[#This Row],[BL No]],ResultTable[BL], ResultTable[Containers No.], "")</f>
        <v/>
      </c>
      <c r="K8" s="61" t="str">
        <f>_xlfn.XLOOKUP(PurchaseList_Table[[#This Row],[BL No]],ResultTable[BL], ResultTable[Container Type], "")</f>
        <v/>
      </c>
      <c r="L8" s="61" t="str">
        <f>_xlfn.XLOOKUP(PurchaseList_Table[[#This Row],[BL No]],ResultTable[BL], ResultTable[No. of Containers], "")</f>
        <v/>
      </c>
      <c r="M8" s="61">
        <f>IF(PurchaseList_Table[[#This Row],[ETA]]="", 2958465, VALUE(PurchaseList_Table[[#This Row],[ETA]]))</f>
        <v>2958465</v>
      </c>
      <c r="N8" s="62" t="str">
        <f>_xlfn.XLOOKUP(PurchaseList_Table[[#This Row],[BL No]],ResultTable[BL], ResultTable[ETD], "")</f>
        <v/>
      </c>
      <c r="O8" s="62" t="str">
        <f>_xlfn.XLOOKUP(
    PurchaseList_Table[[#This Row],[BL No]],
    ResultTable[BL],
    ResultTable[ETA],
    "",
    0
)</f>
        <v/>
      </c>
      <c r="P8" s="50"/>
      <c r="Q8" s="43"/>
      <c r="R8" s="43"/>
      <c r="S8" s="36"/>
      <c r="T8" s="43"/>
      <c r="U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8" s="62" t="str">
        <f>IFERROR(IF(PurchaseList_Table[[#This Row],[Outstanding Amount]]="","",
   PurchaseList_Table[[#This Row],[ETD]] + PurchaseList_Table[[#This Row],[Credit Period]]
),"")</f>
        <v/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/>
      </c>
      <c r="AE8" s="1" t="str">
        <f>_xlfn.LET(_xlpm.x, TRIM(CLEAN(PurchaseList_Table[[#This Row],[Material]])), IF(_xlpm.x="", "", _xlpm.x))</f>
        <v/>
      </c>
      <c r="AF8" s="1" t="str">
        <f>IF(PurchaseList_Table[[#This Row],[ETA MONTH]]="", "Waiting for loading", PurchaseList_Table[[#This Row],[ETA MONTH]])</f>
        <v>Waiting for loading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9" spans="1:34" ht="31.5" customHeight="1" x14ac:dyDescent="0.25">
      <c r="A9" s="36"/>
      <c r="B9" s="36"/>
      <c r="C9" s="36"/>
      <c r="D9" s="45"/>
      <c r="E9" s="41"/>
      <c r="F9" s="59"/>
      <c r="G9" s="56"/>
      <c r="H9" s="36"/>
      <c r="I9" s="42"/>
      <c r="J9" s="61" t="str">
        <f>_xlfn.XLOOKUP(PurchaseList_Table[[#This Row],[BL No]],ResultTable[BL], ResultTable[Containers No.], "")</f>
        <v/>
      </c>
      <c r="K9" s="61" t="str">
        <f>_xlfn.XLOOKUP(PurchaseList_Table[[#This Row],[BL No]],ResultTable[BL], ResultTable[Container Type], "")</f>
        <v/>
      </c>
      <c r="L9" s="61" t="str">
        <f>_xlfn.XLOOKUP(PurchaseList_Table[[#This Row],[BL No]],ResultTable[BL], ResultTable[No. of Containers], "")</f>
        <v/>
      </c>
      <c r="M9" s="61">
        <f>IF(PurchaseList_Table[[#This Row],[ETA]]="", 2958465, VALUE(PurchaseList_Table[[#This Row],[ETA]]))</f>
        <v>2958465</v>
      </c>
      <c r="N9" s="62" t="str">
        <f>_xlfn.XLOOKUP(PurchaseList_Table[[#This Row],[BL No]],ResultTable[BL], ResultTable[ETD], "")</f>
        <v/>
      </c>
      <c r="O9" s="62" t="str">
        <f>_xlfn.XLOOKUP(
    PurchaseList_Table[[#This Row],[BL No]],
    ResultTable[BL],
    ResultTable[ETA],
    "",
    0
)</f>
        <v/>
      </c>
      <c r="P9" s="50"/>
      <c r="Q9" s="43"/>
      <c r="R9" s="43"/>
      <c r="S9" s="36"/>
      <c r="T9" s="43"/>
      <c r="U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9" s="62" t="str">
        <f>IFERROR(IF(PurchaseList_Table[[#This Row],[Outstanding Amount]]="","",
   PurchaseList_Table[[#This Row],[ETD]] + PurchaseList_Table[[#This Row],[Credit Period]]
),"")</f>
        <v/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/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/>
      <c r="B10" s="36"/>
      <c r="C10" s="36"/>
      <c r="D10" s="45"/>
      <c r="E10" s="41"/>
      <c r="F10" s="59"/>
      <c r="G10" s="56"/>
      <c r="H10" s="36"/>
      <c r="I10" s="42"/>
      <c r="J10" s="61" t="str">
        <f>_xlfn.XLOOKUP(PurchaseList_Table[[#This Row],[BL No]],ResultTable[BL], ResultTable[Containers No.], "")</f>
        <v/>
      </c>
      <c r="K10" s="61" t="str">
        <f>_xlfn.XLOOKUP(PurchaseList_Table[[#This Row],[BL No]],ResultTable[BL], ResultTable[Container Type], "")</f>
        <v/>
      </c>
      <c r="L10" s="61" t="str">
        <f>_xlfn.XLOOKUP(PurchaseList_Table[[#This Row],[BL No]],ResultTable[BL], ResultTable[No. of Containers], "")</f>
        <v/>
      </c>
      <c r="M10" s="61">
        <f>IF(PurchaseList_Table[[#This Row],[ETA]]="", 2958465, VALUE(PurchaseList_Table[[#This Row],[ETA]]))</f>
        <v>2958465</v>
      </c>
      <c r="N10" s="62" t="str">
        <f>_xlfn.XLOOKUP(PurchaseList_Table[[#This Row],[BL No]],ResultTable[BL], ResultTable[ETD], "")</f>
        <v/>
      </c>
      <c r="O10" s="62" t="str">
        <f>_xlfn.XLOOKUP(
    PurchaseList_Table[[#This Row],[BL No]],
    ResultTable[BL],
    ResultTable[ETA],
    "",
    0
)</f>
        <v/>
      </c>
      <c r="P10" s="50"/>
      <c r="Q10" s="43"/>
      <c r="R10" s="43"/>
      <c r="S10" s="36"/>
      <c r="T10" s="43"/>
      <c r="U1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0" s="62" t="str">
        <f>IFERROR(IF(PurchaseList_Table[[#This Row],[Outstanding Amount]]="","",
   PurchaseList_Table[[#This Row],[ETD]] + PurchaseList_Table[[#This Row],[Credit Period]]
),"")</f>
        <v/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/>
      </c>
      <c r="AE10" s="1" t="str">
        <f>_xlfn.LET(_xlpm.x, TRIM(CLEAN(PurchaseList_Table[[#This Row],[Material]])), IF(_xlpm.x="", "", _xlpm.x))</f>
        <v/>
      </c>
      <c r="AF10" s="1" t="str">
        <f>IF(PurchaseList_Table[[#This Row],[ETA MONTH]]="", "Waiting for loading", PurchaseList_Table[[#This Row],[ETA MONTH]])</f>
        <v>Waiting for loading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1" spans="1:34" ht="31.5" customHeight="1" x14ac:dyDescent="0.25">
      <c r="A11" s="36"/>
      <c r="B11" s="36"/>
      <c r="C11" s="36"/>
      <c r="D11" s="45"/>
      <c r="E11" s="41"/>
      <c r="F11" s="59"/>
      <c r="G11" s="56"/>
      <c r="H11" s="36"/>
      <c r="I11" s="42"/>
      <c r="J11" s="61" t="str">
        <f>_xlfn.XLOOKUP(PurchaseList_Table[[#This Row],[BL No]],ResultTable[BL], ResultTable[Containers No.], "")</f>
        <v/>
      </c>
      <c r="K11" s="61" t="str">
        <f>_xlfn.XLOOKUP(PurchaseList_Table[[#This Row],[BL No]],ResultTable[BL], ResultTable[Container Type], "")</f>
        <v/>
      </c>
      <c r="L11" s="61" t="str">
        <f>_xlfn.XLOOKUP(PurchaseList_Table[[#This Row],[BL No]],ResultTable[BL], ResultTable[No. of Containers], "")</f>
        <v/>
      </c>
      <c r="M11" s="61">
        <f>IF(PurchaseList_Table[[#This Row],[ETA]]="", 2958465, VALUE(PurchaseList_Table[[#This Row],[ETA]]))</f>
        <v>2958465</v>
      </c>
      <c r="N11" s="62" t="str">
        <f>_xlfn.XLOOKUP(PurchaseList_Table[[#This Row],[BL No]],ResultTable[BL], ResultTable[ETD], "")</f>
        <v/>
      </c>
      <c r="O11" s="62" t="str">
        <f>_xlfn.XLOOKUP(
    PurchaseList_Table[[#This Row],[BL No]],
    ResultTable[BL],
    ResultTable[ETA],
    "",
    0
)</f>
        <v/>
      </c>
      <c r="P11" s="50"/>
      <c r="Q11" s="43"/>
      <c r="R11" s="43"/>
      <c r="S11" s="36"/>
      <c r="T11" s="43"/>
      <c r="U1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1" s="62" t="str">
        <f>IFERROR(IF(PurchaseList_Table[[#This Row],[Outstanding Amount]]="","",
   PurchaseList_Table[[#This Row],[ETD]] + PurchaseList_Table[[#This Row],[Credit Period]]
),"")</f>
        <v/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/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/>
      <c r="B12" s="36"/>
      <c r="C12" s="36"/>
      <c r="D12" s="45"/>
      <c r="E12" s="41"/>
      <c r="F12" s="59"/>
      <c r="G12" s="56"/>
      <c r="H12" s="36"/>
      <c r="I12" s="42"/>
      <c r="J12" s="61" t="str">
        <f>_xlfn.XLOOKUP(PurchaseList_Table[[#This Row],[BL No]],ResultTable[BL], ResultTable[Containers No.], "")</f>
        <v/>
      </c>
      <c r="K12" s="61" t="str">
        <f>_xlfn.XLOOKUP(PurchaseList_Table[[#This Row],[BL No]],ResultTable[BL], ResultTable[Container Type], "")</f>
        <v/>
      </c>
      <c r="L12" s="61" t="str">
        <f>_xlfn.XLOOKUP(PurchaseList_Table[[#This Row],[BL No]],ResultTable[BL], ResultTable[No. of Containers], "")</f>
        <v/>
      </c>
      <c r="M12" s="61">
        <f>IF(PurchaseList_Table[[#This Row],[ETA]]="", 2958465, VALUE(PurchaseList_Table[[#This Row],[ETA]]))</f>
        <v>2958465</v>
      </c>
      <c r="N12" s="62" t="str">
        <f>_xlfn.XLOOKUP(PurchaseList_Table[[#This Row],[BL No]],ResultTable[BL], ResultTable[ETD], "")</f>
        <v/>
      </c>
      <c r="O12" s="62" t="str">
        <f>_xlfn.XLOOKUP(
    PurchaseList_Table[[#This Row],[BL No]],
    ResultTable[BL],
    ResultTable[ETA],
    "",
    0
)</f>
        <v/>
      </c>
      <c r="P12" s="50"/>
      <c r="Q12" s="43"/>
      <c r="R12" s="43"/>
      <c r="S12" s="36"/>
      <c r="T12" s="43"/>
      <c r="U1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2" s="62" t="str">
        <f>IFERROR(IF(PurchaseList_Table[[#This Row],[Outstanding Amount]]="","",
   PurchaseList_Table[[#This Row],[ETD]] + PurchaseList_Table[[#This Row],[Credit Period]]
),"")</f>
        <v/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/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/>
      <c r="B13" s="36"/>
      <c r="C13" s="36"/>
      <c r="D13" s="45"/>
      <c r="E13" s="41"/>
      <c r="F13" s="59"/>
      <c r="G13" s="56"/>
      <c r="H13" s="36"/>
      <c r="I13" s="42"/>
      <c r="J13" s="61" t="str">
        <f>_xlfn.XLOOKUP(PurchaseList_Table[[#This Row],[BL No]],ResultTable[BL], ResultTable[Containers No.], "")</f>
        <v/>
      </c>
      <c r="K13" s="61" t="str">
        <f>_xlfn.XLOOKUP(PurchaseList_Table[[#This Row],[BL No]],ResultTable[BL], ResultTable[Container Type], "")</f>
        <v/>
      </c>
      <c r="L13" s="61" t="str">
        <f>_xlfn.XLOOKUP(PurchaseList_Table[[#This Row],[BL No]],ResultTable[BL], ResultTable[No. of Containers], "")</f>
        <v/>
      </c>
      <c r="M13" s="61">
        <f>IF(PurchaseList_Table[[#This Row],[ETA]]="", 2958465, VALUE(PurchaseList_Table[[#This Row],[ETA]]))</f>
        <v>2958465</v>
      </c>
      <c r="N13" s="62" t="str">
        <f>_xlfn.XLOOKUP(PurchaseList_Table[[#This Row],[BL No]],ResultTable[BL], ResultTable[ETD], "")</f>
        <v/>
      </c>
      <c r="O13" s="62" t="str">
        <f>_xlfn.XLOOKUP(
    PurchaseList_Table[[#This Row],[BL No]],
    ResultTable[BL],
    ResultTable[ETA],
    "",
    0
)</f>
        <v/>
      </c>
      <c r="P13" s="50"/>
      <c r="Q13" s="43"/>
      <c r="R13" s="43"/>
      <c r="S13" s="36"/>
      <c r="T13" s="43"/>
      <c r="U1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3" s="62" t="str">
        <f>IFERROR(IF(PurchaseList_Table[[#This Row],[Outstanding Amount]]="","",
   PurchaseList_Table[[#This Row],[ETD]] + PurchaseList_Table[[#This Row],[Credit Period]]
),"")</f>
        <v/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/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/>
      <c r="B14" s="36"/>
      <c r="C14" s="36"/>
      <c r="D14" s="45"/>
      <c r="E14" s="41"/>
      <c r="F14" s="59"/>
      <c r="G14" s="56"/>
      <c r="H14" s="36"/>
      <c r="I14" s="42"/>
      <c r="J14" s="61" t="str">
        <f>_xlfn.XLOOKUP(PurchaseList_Table[[#This Row],[BL No]],ResultTable[BL], ResultTable[Containers No.], "")</f>
        <v/>
      </c>
      <c r="K14" s="61" t="str">
        <f>_xlfn.XLOOKUP(PurchaseList_Table[[#This Row],[BL No]],ResultTable[BL], ResultTable[Container Type], "")</f>
        <v/>
      </c>
      <c r="L14" s="61" t="str">
        <f>_xlfn.XLOOKUP(PurchaseList_Table[[#This Row],[BL No]],ResultTable[BL], ResultTable[No. of Containers], "")</f>
        <v/>
      </c>
      <c r="M14" s="61">
        <f>IF(PurchaseList_Table[[#This Row],[ETA]]="", 2958465, VALUE(PurchaseList_Table[[#This Row],[ETA]]))</f>
        <v>2958465</v>
      </c>
      <c r="N14" s="62" t="str">
        <f>_xlfn.XLOOKUP(PurchaseList_Table[[#This Row],[BL No]],ResultTable[BL], ResultTable[ETD], "")</f>
        <v/>
      </c>
      <c r="O14" s="62" t="str">
        <f>_xlfn.XLOOKUP(
    PurchaseList_Table[[#This Row],[BL No]],
    ResultTable[BL],
    ResultTable[ETA],
    "",
    0
)</f>
        <v/>
      </c>
      <c r="P14" s="50"/>
      <c r="Q14" s="43"/>
      <c r="R14" s="43"/>
      <c r="S14" s="36"/>
      <c r="T14" s="43"/>
      <c r="U1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4" s="62" t="str">
        <f>IFERROR(IF(PurchaseList_Table[[#This Row],[Outstanding Amount]]="","",
   PurchaseList_Table[[#This Row],[ETD]] + PurchaseList_Table[[#This Row],[Credit Period]]
),"")</f>
        <v/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/>
      </c>
      <c r="AE14" s="1" t="str">
        <f>_xlfn.LET(_xlpm.x, TRIM(CLEAN(PurchaseList_Table[[#This Row],[Material]])), IF(_xlpm.x="", "", _xlpm.x))</f>
        <v/>
      </c>
      <c r="AF14" s="1" t="str">
        <f>IF(PurchaseList_Table[[#This Row],[ETA MONTH]]="", "Waiting for loading", PurchaseList_Table[[#This Row],[ETA MONTH]])</f>
        <v>Waiting for loading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5" spans="1:34" ht="31.5" customHeight="1" x14ac:dyDescent="0.25">
      <c r="A15" s="36"/>
      <c r="B15" s="36"/>
      <c r="C15" s="36"/>
      <c r="D15" s="45"/>
      <c r="E15" s="41"/>
      <c r="F15" s="59"/>
      <c r="G15" s="56"/>
      <c r="H15" s="36"/>
      <c r="I15" s="42"/>
      <c r="J15" s="61" t="str">
        <f>_xlfn.XLOOKUP(PurchaseList_Table[[#This Row],[BL No]],ResultTable[BL], ResultTable[Containers No.], "")</f>
        <v/>
      </c>
      <c r="K15" s="61" t="str">
        <f>_xlfn.XLOOKUP(PurchaseList_Table[[#This Row],[BL No]],ResultTable[BL], ResultTable[Container Type], "")</f>
        <v/>
      </c>
      <c r="L15" s="61" t="str">
        <f>_xlfn.XLOOKUP(PurchaseList_Table[[#This Row],[BL No]],ResultTable[BL], ResultTable[No. of Containers], "")</f>
        <v/>
      </c>
      <c r="M15" s="61">
        <f>IF(PurchaseList_Table[[#This Row],[ETA]]="", 2958465, VALUE(PurchaseList_Table[[#This Row],[ETA]]))</f>
        <v>2958465</v>
      </c>
      <c r="N15" s="62" t="str">
        <f>_xlfn.XLOOKUP(PurchaseList_Table[[#This Row],[BL No]],ResultTable[BL], ResultTable[ETD], "")</f>
        <v/>
      </c>
      <c r="O15" s="62" t="str">
        <f>_xlfn.XLOOKUP(
    PurchaseList_Table[[#This Row],[BL No]],
    ResultTable[BL],
    ResultTable[ETA],
    "",
    0
)</f>
        <v/>
      </c>
      <c r="P15" s="50"/>
      <c r="Q15" s="43"/>
      <c r="R15" s="43"/>
      <c r="S15" s="36"/>
      <c r="T15" s="43"/>
      <c r="U1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5" s="62" t="str">
        <f>IFERROR(IF(PurchaseList_Table[[#This Row],[Outstanding Amount]]="","",
   PurchaseList_Table[[#This Row],[ETD]] + PurchaseList_Table[[#This Row],[Credit Period]]
),"")</f>
        <v/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/>
      </c>
      <c r="AE15" s="1" t="str">
        <f>_xlfn.LET(_xlpm.x, TRIM(CLEAN(PurchaseList_Table[[#This Row],[Material]])), IF(_xlpm.x="", "", _xlpm.x))</f>
        <v/>
      </c>
      <c r="AF15" s="1" t="str">
        <f>IF(PurchaseList_Table[[#This Row],[ETA MONTH]]="", "Waiting for loading", PurchaseList_Table[[#This Row],[ETA MONTH]])</f>
        <v>Waiting for loading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6" spans="1:34" ht="31.5" customHeight="1" x14ac:dyDescent="0.25">
      <c r="A16" s="36"/>
      <c r="B16" s="36"/>
      <c r="C16" s="36"/>
      <c r="D16" s="45"/>
      <c r="E16" s="41"/>
      <c r="F16" s="59"/>
      <c r="G16" s="56"/>
      <c r="H16" s="36"/>
      <c r="I16" s="42"/>
      <c r="J16" s="61" t="str">
        <f>_xlfn.XLOOKUP(PurchaseList_Table[[#This Row],[BL No]],ResultTable[BL], ResultTable[Containers No.], "")</f>
        <v/>
      </c>
      <c r="K16" s="61" t="str">
        <f>_xlfn.XLOOKUP(PurchaseList_Table[[#This Row],[BL No]],ResultTable[BL], ResultTable[Container Type], "")</f>
        <v/>
      </c>
      <c r="L16" s="61" t="str">
        <f>_xlfn.XLOOKUP(PurchaseList_Table[[#This Row],[BL No]],ResultTable[BL], ResultTable[No. of Containers], "")</f>
        <v/>
      </c>
      <c r="M16" s="61">
        <f>IF(PurchaseList_Table[[#This Row],[ETA]]="", 2958465, VALUE(PurchaseList_Table[[#This Row],[ETA]]))</f>
        <v>2958465</v>
      </c>
      <c r="N16" s="62" t="str">
        <f>_xlfn.XLOOKUP(PurchaseList_Table[[#This Row],[BL No]],ResultTable[BL], ResultTable[ETD], "")</f>
        <v/>
      </c>
      <c r="O16" s="62" t="str">
        <f>_xlfn.XLOOKUP(
    PurchaseList_Table[[#This Row],[BL No]],
    ResultTable[BL],
    ResultTable[ETA],
    "",
    0
)</f>
        <v/>
      </c>
      <c r="P16" s="50"/>
      <c r="Q16" s="43"/>
      <c r="R16" s="43"/>
      <c r="S16" s="36"/>
      <c r="T16" s="43"/>
      <c r="U1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6" s="62" t="str">
        <f>IFERROR(IF(PurchaseList_Table[[#This Row],[Outstanding Amount]]="","",
   PurchaseList_Table[[#This Row],[ETD]] + PurchaseList_Table[[#This Row],[Credit Period]]
),"")</f>
        <v/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/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/>
      <c r="B17" s="36"/>
      <c r="C17" s="36"/>
      <c r="D17" s="45"/>
      <c r="E17" s="41"/>
      <c r="F17" s="59"/>
      <c r="G17" s="56"/>
      <c r="H17" s="36"/>
      <c r="I17" s="42"/>
      <c r="J17" s="61" t="str">
        <f>_xlfn.XLOOKUP(PurchaseList_Table[[#This Row],[BL No]],ResultTable[BL], ResultTable[Containers No.], "")</f>
        <v/>
      </c>
      <c r="K17" s="61" t="str">
        <f>_xlfn.XLOOKUP(PurchaseList_Table[[#This Row],[BL No]],ResultTable[BL], ResultTable[Container Type], "")</f>
        <v/>
      </c>
      <c r="L17" s="61" t="str">
        <f>_xlfn.XLOOKUP(PurchaseList_Table[[#This Row],[BL No]],ResultTable[BL], ResultTable[No. of Containers], "")</f>
        <v/>
      </c>
      <c r="M17" s="61">
        <f>IF(PurchaseList_Table[[#This Row],[ETA]]="", 2958465, VALUE(PurchaseList_Table[[#This Row],[ETA]]))</f>
        <v>2958465</v>
      </c>
      <c r="N17" s="62" t="str">
        <f>_xlfn.XLOOKUP(PurchaseList_Table[[#This Row],[BL No]],ResultTable[BL], ResultTable[ETD], "")</f>
        <v/>
      </c>
      <c r="O17" s="62" t="str">
        <f>_xlfn.XLOOKUP(
    PurchaseList_Table[[#This Row],[BL No]],
    ResultTable[BL],
    ResultTable[ETA],
    "",
    0
)</f>
        <v/>
      </c>
      <c r="P17" s="50"/>
      <c r="Q17" s="43"/>
      <c r="R17" s="43"/>
      <c r="S17" s="36"/>
      <c r="T17" s="43"/>
      <c r="U1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7" s="62" t="str">
        <f>IFERROR(IF(PurchaseList_Table[[#This Row],[Outstanding Amount]]="","",
   PurchaseList_Table[[#This Row],[ETD]] + PurchaseList_Table[[#This Row],[Credit Period]]
),"")</f>
        <v/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/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/>
      <c r="B18" s="36"/>
      <c r="C18" s="36"/>
      <c r="D18" s="45"/>
      <c r="E18" s="41"/>
      <c r="F18" s="36"/>
      <c r="G18" s="41"/>
      <c r="H18" s="36"/>
      <c r="I18" s="42"/>
      <c r="J18" s="61" t="str">
        <f>_xlfn.XLOOKUP(PurchaseList_Table[[#This Row],[BL No]],ResultTable[BL], ResultTable[Containers No.], "")</f>
        <v/>
      </c>
      <c r="K18" s="61" t="str">
        <f>_xlfn.XLOOKUP(PurchaseList_Table[[#This Row],[BL No]],ResultTable[BL], ResultTable[Container Type], "")</f>
        <v/>
      </c>
      <c r="L18" s="61" t="str">
        <f>_xlfn.XLOOKUP(PurchaseList_Table[[#This Row],[BL No]],ResultTable[BL], ResultTable[No. of Containers], "")</f>
        <v/>
      </c>
      <c r="M18" s="61">
        <f>IF(PurchaseList_Table[[#This Row],[ETA]]="", 2958465, VALUE(PurchaseList_Table[[#This Row],[ETA]]))</f>
        <v>2958465</v>
      </c>
      <c r="N18" s="62" t="str">
        <f>_xlfn.XLOOKUP(PurchaseList_Table[[#This Row],[BL No]],ResultTable[BL], ResultTable[ETD], "")</f>
        <v/>
      </c>
      <c r="O18" s="62" t="str">
        <f>_xlfn.XLOOKUP(
    PurchaseList_Table[[#This Row],[BL No]],
    ResultTable[BL],
    ResultTable[ETA],
    "",
    0
)</f>
        <v/>
      </c>
      <c r="P18" s="50"/>
      <c r="Q18" s="43"/>
      <c r="R18" s="43"/>
      <c r="S18" s="36"/>
      <c r="T18" s="43"/>
      <c r="U1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8" s="62" t="str">
        <f>IFERROR(IF(PurchaseList_Table[[#This Row],[Outstanding Amount]]="","",
   PurchaseList_Table[[#This Row],[ETD]] + PurchaseList_Table[[#This Row],[Credit Period]]
),"")</f>
        <v/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/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/>
      <c r="B19" s="36"/>
      <c r="C19" s="36"/>
      <c r="D19" s="45"/>
      <c r="E19" s="41"/>
      <c r="F19" s="59"/>
      <c r="G19" s="56"/>
      <c r="H19" s="36"/>
      <c r="I19" s="42"/>
      <c r="J19" s="61" t="str">
        <f>_xlfn.XLOOKUP(PurchaseList_Table[[#This Row],[BL No]],ResultTable[BL], ResultTable[Containers No.], "")</f>
        <v/>
      </c>
      <c r="K19" s="61" t="str">
        <f>_xlfn.XLOOKUP(PurchaseList_Table[[#This Row],[BL No]],ResultTable[BL], ResultTable[Container Type], "")</f>
        <v/>
      </c>
      <c r="L19" s="61" t="str">
        <f>_xlfn.XLOOKUP(PurchaseList_Table[[#This Row],[BL No]],ResultTable[BL], ResultTable[No. of Containers], "")</f>
        <v/>
      </c>
      <c r="M19" s="61">
        <f>IF(PurchaseList_Table[[#This Row],[ETA]]="", 2958465, VALUE(PurchaseList_Table[[#This Row],[ETA]]))</f>
        <v>2958465</v>
      </c>
      <c r="N19" s="62" t="str">
        <f>_xlfn.XLOOKUP(PurchaseList_Table[[#This Row],[BL No]],ResultTable[BL], ResultTable[ETD], "")</f>
        <v/>
      </c>
      <c r="O19" s="62" t="str">
        <f>_xlfn.XLOOKUP(
    PurchaseList_Table[[#This Row],[BL No]],
    ResultTable[BL],
    ResultTable[ETA],
    "",
    0
)</f>
        <v/>
      </c>
      <c r="P19" s="50"/>
      <c r="Q19" s="43"/>
      <c r="R19" s="43"/>
      <c r="S19" s="36"/>
      <c r="T19" s="43"/>
      <c r="U1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9" s="62" t="str">
        <f>IFERROR(IF(PurchaseList_Table[[#This Row],[Outstanding Amount]]="","",
   PurchaseList_Table[[#This Row],[ETD]] + PurchaseList_Table[[#This Row],[Credit Period]]
),"")</f>
        <v/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/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27" customHeight="1" x14ac:dyDescent="0.25">
      <c r="A20" s="36"/>
      <c r="B20" s="36"/>
      <c r="C20" s="36"/>
      <c r="D20" s="45"/>
      <c r="E20" s="41"/>
      <c r="F20" s="59"/>
      <c r="G20" s="56"/>
      <c r="H20" s="36"/>
      <c r="I20" s="42"/>
      <c r="J20" s="61" t="str">
        <f>_xlfn.XLOOKUP(PurchaseList_Table[[#This Row],[BL No]],ResultTable[BL], ResultTable[Containers No.], "")</f>
        <v/>
      </c>
      <c r="K20" s="61" t="str">
        <f>_xlfn.XLOOKUP(PurchaseList_Table[[#This Row],[BL No]],ResultTable[BL], ResultTable[Container Type], "")</f>
        <v/>
      </c>
      <c r="L20" s="61" t="str">
        <f>_xlfn.XLOOKUP(PurchaseList_Table[[#This Row],[BL No]],ResultTable[BL], ResultTable[No. of Containers], "")</f>
        <v/>
      </c>
      <c r="M20" s="61">
        <f>IF(PurchaseList_Table[[#This Row],[ETA]]="", 2958465, VALUE(PurchaseList_Table[[#This Row],[ETA]]))</f>
        <v>2958465</v>
      </c>
      <c r="N20" s="62" t="str">
        <f>_xlfn.XLOOKUP(PurchaseList_Table[[#This Row],[BL No]],ResultTable[BL], ResultTable[ETD], "")</f>
        <v/>
      </c>
      <c r="O20" s="62" t="str">
        <f>_xlfn.XLOOKUP(
    PurchaseList_Table[[#This Row],[BL No]],
    ResultTable[BL],
    ResultTable[ETA],
    "",
    0
)</f>
        <v/>
      </c>
      <c r="P20" s="50"/>
      <c r="Q20" s="43"/>
      <c r="R20" s="43"/>
      <c r="S20" s="36"/>
      <c r="T20" s="43"/>
      <c r="U2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0" s="62" t="str">
        <f>IFERROR(IF(PurchaseList_Table[[#This Row],[Outstanding Amount]]="","",
   PurchaseList_Table[[#This Row],[ETD]] + PurchaseList_Table[[#This Row],[Credit Period]]
),"")</f>
        <v/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/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31.5" customHeight="1" x14ac:dyDescent="0.25">
      <c r="A21" s="36"/>
      <c r="B21" s="36"/>
      <c r="C21" s="36"/>
      <c r="D21" s="45"/>
      <c r="E21" s="41"/>
      <c r="F21" s="59"/>
      <c r="G21" s="56"/>
      <c r="H21" s="36"/>
      <c r="I21" s="42"/>
      <c r="J21" s="61" t="str">
        <f>_xlfn.XLOOKUP(PurchaseList_Table[[#This Row],[BL No]],ResultTable[BL], ResultTable[Containers No.], "")</f>
        <v/>
      </c>
      <c r="K21" s="61" t="str">
        <f>_xlfn.XLOOKUP(PurchaseList_Table[[#This Row],[BL No]],ResultTable[BL], ResultTable[Container Type], "")</f>
        <v/>
      </c>
      <c r="L21" s="61" t="str">
        <f>_xlfn.XLOOKUP(PurchaseList_Table[[#This Row],[BL No]],ResultTable[BL], ResultTable[No. of Containers], "")</f>
        <v/>
      </c>
      <c r="M21" s="61">
        <f>IF(PurchaseList_Table[[#This Row],[ETA]]="", 2958465, VALUE(PurchaseList_Table[[#This Row],[ETA]]))</f>
        <v>2958465</v>
      </c>
      <c r="N21" s="62" t="str">
        <f>_xlfn.XLOOKUP(PurchaseList_Table[[#This Row],[BL No]],ResultTable[BL], ResultTable[ETD], "")</f>
        <v/>
      </c>
      <c r="O21" s="62" t="str">
        <f>_xlfn.XLOOKUP(
    PurchaseList_Table[[#This Row],[BL No]],
    ResultTable[BL],
    ResultTable[ETA],
    "",
    0
)</f>
        <v/>
      </c>
      <c r="P21" s="50"/>
      <c r="Q21" s="43"/>
      <c r="R21" s="43"/>
      <c r="S21" s="36"/>
      <c r="T21" s="43"/>
      <c r="U2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1" s="62" t="str">
        <f>IFERROR(IF(PurchaseList_Table[[#This Row],[Outstanding Amount]]="","",
   PurchaseList_Table[[#This Row],[ETD]] + PurchaseList_Table[[#This Row],[Credit Period]]
),"")</f>
        <v/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/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31.5" customHeight="1" x14ac:dyDescent="0.25">
      <c r="A22" s="36"/>
      <c r="B22" s="36"/>
      <c r="C22" s="36"/>
      <c r="D22" s="45"/>
      <c r="E22" s="41"/>
      <c r="F22" s="59"/>
      <c r="G22" s="56"/>
      <c r="H22" s="36"/>
      <c r="I22" s="42"/>
      <c r="J22" s="61" t="str">
        <f>_xlfn.XLOOKUP(PurchaseList_Table[[#This Row],[BL No]],ResultTable[BL], ResultTable[Containers No.], "")</f>
        <v/>
      </c>
      <c r="K22" s="61" t="str">
        <f>_xlfn.XLOOKUP(PurchaseList_Table[[#This Row],[BL No]],ResultTable[BL], ResultTable[Container Type], "")</f>
        <v/>
      </c>
      <c r="L22" s="61" t="str">
        <f>_xlfn.XLOOKUP(PurchaseList_Table[[#This Row],[BL No]],ResultTable[BL], ResultTable[No. of Containers], "")</f>
        <v/>
      </c>
      <c r="M22" s="61">
        <f>IF(PurchaseList_Table[[#This Row],[ETA]]="", 2958465, VALUE(PurchaseList_Table[[#This Row],[ETA]]))</f>
        <v>2958465</v>
      </c>
      <c r="N22" s="62" t="str">
        <f>_xlfn.XLOOKUP(PurchaseList_Table[[#This Row],[BL No]],ResultTable[BL], ResultTable[ETD], "")</f>
        <v/>
      </c>
      <c r="O22" s="62" t="str">
        <f>_xlfn.XLOOKUP(
    PurchaseList_Table[[#This Row],[BL No]],
    ResultTable[BL],
    ResultTable[ETA],
    "",
    0
)</f>
        <v/>
      </c>
      <c r="P22" s="50"/>
      <c r="Q22" s="43"/>
      <c r="R22" s="43"/>
      <c r="S22" s="36"/>
      <c r="T22" s="43"/>
      <c r="U2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2" s="62" t="str">
        <f>IFERROR(IF(PurchaseList_Table[[#This Row],[Outstanding Amount]]="","",
   PurchaseList_Table[[#This Row],[ETD]] + PurchaseList_Table[[#This Row],[Credit Period]]
),"")</f>
        <v/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/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/>
      <c r="B23" s="36"/>
      <c r="C23" s="36"/>
      <c r="D23" s="45"/>
      <c r="E23" s="41"/>
      <c r="F23" s="59"/>
      <c r="G23" s="56"/>
      <c r="H23" s="36"/>
      <c r="I23" s="42"/>
      <c r="J23" s="61" t="str">
        <f>_xlfn.XLOOKUP(PurchaseList_Table[[#This Row],[BL No]],ResultTable[BL], ResultTable[Containers No.], "")</f>
        <v/>
      </c>
      <c r="K23" s="61" t="str">
        <f>_xlfn.XLOOKUP(PurchaseList_Table[[#This Row],[BL No]],ResultTable[BL], ResultTable[Container Type], "")</f>
        <v/>
      </c>
      <c r="L23" s="61" t="str">
        <f>_xlfn.XLOOKUP(PurchaseList_Table[[#This Row],[BL No]],ResultTable[BL], ResultTable[No. of Containers], "")</f>
        <v/>
      </c>
      <c r="M23" s="61">
        <f>IF(PurchaseList_Table[[#This Row],[ETA]]="", 2958465, VALUE(PurchaseList_Table[[#This Row],[ETA]]))</f>
        <v>2958465</v>
      </c>
      <c r="N23" s="62" t="str">
        <f>_xlfn.XLOOKUP(PurchaseList_Table[[#This Row],[BL No]],ResultTable[BL], ResultTable[ETD], "")</f>
        <v/>
      </c>
      <c r="O23" s="62" t="str">
        <f>_xlfn.XLOOKUP(
    PurchaseList_Table[[#This Row],[BL No]],
    ResultTable[BL],
    ResultTable[ETA],
    "",
    0
)</f>
        <v/>
      </c>
      <c r="P23" s="50"/>
      <c r="Q23" s="43"/>
      <c r="R23" s="43"/>
      <c r="S23" s="36"/>
      <c r="T23" s="43"/>
      <c r="U2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3" s="62" t="str">
        <f>IFERROR(IF(PurchaseList_Table[[#This Row],[Outstanding Amount]]="","",
   PurchaseList_Table[[#This Row],[ETD]] + PurchaseList_Table[[#This Row],[Credit Period]]
),"")</f>
        <v/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/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/>
      <c r="B24" s="36"/>
      <c r="C24" s="36"/>
      <c r="D24" s="45"/>
      <c r="E24" s="41"/>
      <c r="F24" s="59"/>
      <c r="G24" s="41"/>
      <c r="H24" s="36"/>
      <c r="I24" s="42"/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 t="str">
        <f>IF(AND(PurchaseList_Table[[#This Row],[ETA]]&lt;&gt;"",PurchaseList_Table[[#This Row],[ETD]]&lt;&gt;""),PurchaseList_Table[[#This Row],[ETA]]-PurchaseList_Table[[#This Row],[ETD]],"")</f>
        <v/>
      </c>
      <c r="Q24" s="43"/>
      <c r="R24" s="43"/>
      <c r="S24" s="36"/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/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/>
      <c r="B25" s="36"/>
      <c r="C25" s="36"/>
      <c r="D25" s="45"/>
      <c r="E25" s="41"/>
      <c r="F25" s="59"/>
      <c r="G25" s="41"/>
      <c r="H25" s="36"/>
      <c r="I25" s="42"/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/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/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/>
      <c r="B26" s="36"/>
      <c r="C26" s="36"/>
      <c r="D26" s="45"/>
      <c r="E26" s="41"/>
      <c r="F26" s="59"/>
      <c r="G26" s="41"/>
      <c r="H26" s="36"/>
      <c r="I26" s="42"/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/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/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/>
      <c r="B27" s="36"/>
      <c r="C27" s="36"/>
      <c r="D27" s="45"/>
      <c r="E27" s="41"/>
      <c r="F27" s="59"/>
      <c r="G27" s="41"/>
      <c r="H27" s="36"/>
      <c r="I27" s="42"/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/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/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/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/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/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/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/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/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/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/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/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/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/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/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s="55" customFormat="1" ht="25.5" customHeight="1" x14ac:dyDescent="0.3">
      <c r="A40" s="52"/>
      <c r="B40" s="52"/>
      <c r="C40" s="52"/>
      <c r="D40" s="52"/>
      <c r="E40" s="52"/>
      <c r="F40" s="52"/>
      <c r="G40" s="52"/>
      <c r="H40" s="52"/>
      <c r="I40" s="57">
        <f>SUBTOTAL(109,PurchaseList_Table[Weight])</f>
        <v>0</v>
      </c>
      <c r="J40" s="65"/>
      <c r="K40" s="52"/>
      <c r="L40" s="52">
        <f>SUBTOTAL(109,PurchaseList_Table[No. of Containers])</f>
        <v>0</v>
      </c>
      <c r="M40" s="52"/>
      <c r="N40" s="52"/>
      <c r="O40" s="52"/>
      <c r="P40" s="53"/>
      <c r="Q40" s="54">
        <f>SUBTOTAL(109,PurchaseList_Table[Advance Paid])</f>
        <v>0</v>
      </c>
      <c r="R40" s="54">
        <f>SUBTOTAL(109,PurchaseList_Table[Total invoice Amount])</f>
        <v>0</v>
      </c>
      <c r="S40" s="52"/>
      <c r="T40" s="54">
        <f>SUBTOTAL(109,PurchaseList_Table[Paid Balance amount])</f>
        <v>0</v>
      </c>
      <c r="U40" s="54">
        <f>SUBTOTAL(109,PurchaseList_Table[Outstanding Amount])</f>
        <v>0</v>
      </c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>
        <f>SUBTOTAL(109,PurchaseList_Table[CLN No. of cnt])</f>
        <v>0</v>
      </c>
    </row>
    <row r="41" spans="1:34" x14ac:dyDescent="0.25">
      <c r="K41" s="42"/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2:K57">
    <cfRule type="expression" dxfId="115" priority="16">
      <formula>OR($V42="Overpaid",$V42="OverPaid, Waiting for BL")</formula>
    </cfRule>
    <cfRule type="expression" dxfId="114" priority="17">
      <formula>OR($V42="OverDue",$V42="Total Invoice Clear, Waiting for BL",$V42="Invoice Received, Waiting for BL")</formula>
    </cfRule>
    <cfRule type="expression" dxfId="113" priority="18">
      <formula>$V42="Done"</formula>
    </cfRule>
    <cfRule type="expression" dxfId="112" priority="19">
      <formula>LEN($B42)&gt;0</formula>
    </cfRule>
    <cfRule type="expression" dxfId="111" priority="20">
      <formula>$N41="2958465"</formula>
    </cfRule>
  </conditionalFormatting>
  <conditionalFormatting sqref="O4:O39">
    <cfRule type="expression" dxfId="110" priority="199">
      <formula>$O4=DATE(9999,12,31)</formula>
    </cfRule>
  </conditionalFormatting>
  <conditionalFormatting sqref="Y5:Y39">
    <cfRule type="expression" dxfId="109" priority="11">
      <formula>$Y5="Done"</formula>
    </cfRule>
    <cfRule type="expression" dxfId="108" priority="36">
      <formula>AND($Y5&lt;&gt;"Done",$O5&lt;&gt;0,TodayValue&gt;=($O5-9))</formula>
    </cfRule>
  </conditionalFormatting>
  <conditionalFormatting sqref="AA5:AA39">
    <cfRule type="expression" dxfId="107" priority="7">
      <formula>$AA5="Done"</formula>
    </cfRule>
    <cfRule type="expression" dxfId="106" priority="10">
      <formula>AND($AA5&lt;&gt;"Done",$O5&lt;&gt;0,TodayValue&gt;=($O5-9))</formula>
    </cfRule>
  </conditionalFormatting>
  <conditionalFormatting sqref="AB5:AB39">
    <cfRule type="expression" dxfId="105" priority="5">
      <formula>$AB5="Done"</formula>
    </cfRule>
    <cfRule type="expression" dxfId="104" priority="6">
      <formula>AND($AB5&lt;&gt;"Done",$O5&lt;&gt;0,TodayValue&gt;=($O5-9))</formula>
    </cfRule>
  </conditionalFormatting>
  <conditionalFormatting sqref="Z5:Z39">
    <cfRule type="expression" dxfId="103" priority="2">
      <formula>$Z5="DRAFT"</formula>
    </cfRule>
    <cfRule type="expression" dxfId="102" priority="3">
      <formula>$Z5="UPLOADED"</formula>
    </cfRule>
    <cfRule type="expression" dxfId="101" priority="4">
      <formula>AND($Z5&lt;&gt;"UPLOADED",$O5&lt;&gt;0,TodayValue&gt;=($O5-9))</formula>
    </cfRule>
  </conditionalFormatting>
  <conditionalFormatting sqref="A5:AB39">
    <cfRule type="expression" dxfId="100" priority="220">
      <formula>LEN($B5)&gt;0</formula>
    </cfRule>
  </conditionalFormatting>
  <conditionalFormatting sqref="K41">
    <cfRule type="expression" dxfId="99" priority="215">
      <formula>OR($V41="Overpaid",$V41="OverPaid, Waiting for BL")</formula>
    </cfRule>
    <cfRule type="expression" dxfId="98" priority="216">
      <formula>OR($V41="OverDue",$V41="Total Invoice Clear, Waiting for BL",$V41="Invoice Received, Waiting for BL")</formula>
    </cfRule>
    <cfRule type="expression" dxfId="97" priority="217">
      <formula>$V41="Done"</formula>
    </cfRule>
    <cfRule type="expression" dxfId="96" priority="218">
      <formula>LEN($B41)&gt;0</formula>
    </cfRule>
    <cfRule type="expression" dxfId="95" priority="219">
      <formula>$O40="2958465"</formula>
    </cfRule>
  </conditionalFormatting>
  <conditionalFormatting sqref="A5:W39">
    <cfRule type="expression" dxfId="94" priority="221">
      <formula>$W5="SC Expired"</formula>
    </cfRule>
  </conditionalFormatting>
  <conditionalFormatting sqref="A5:I39 Q5:T39">
    <cfRule type="expression" dxfId="93" priority="222">
      <formula>$W5="Arrived at POD"</formula>
    </cfRule>
    <cfRule type="expression" dxfId="92" priority="223">
      <formula>OR($W5="Overpaid",$W5="OverPaid, Waiting for BL")</formula>
    </cfRule>
    <cfRule type="expression" dxfId="91" priority="224">
      <formula>OR($W5="OverDue",$W5="Total Invoice Clear, Waiting for BL",$W5="Invoice Received, Waiting for BL")</formula>
    </cfRule>
    <cfRule type="expression" dxfId="90" priority="241">
      <formula>$W5="Done"</formula>
    </cfRule>
  </conditionalFormatting>
  <conditionalFormatting sqref="G5:G39">
    <cfRule type="duplicateValues" dxfId="89" priority="1"/>
  </conditionalFormatting>
  <conditionalFormatting sqref="A2:D2 F2:G2 A3:G3 H2:I3 K2:K3 M2:AC3">
    <cfRule type="expression" dxfId="88" priority="242">
      <formula>OR($W2="Overpaid",$W2="OverPaid, Waiting for BL")</formula>
    </cfRule>
    <cfRule type="expression" dxfId="87" priority="243">
      <formula>OR($W2="OverDue",$W2="Total Invoice Clear, Waiting for BL",$W2="Invoice Received, Waiting for BL")</formula>
    </cfRule>
    <cfRule type="expression" dxfId="86" priority="244">
      <formula>$W2="Done"</formula>
    </cfRule>
    <cfRule type="expression" dxfId="85" priority="245">
      <formula>LEN($A2)&gt;0</formula>
    </cfRule>
    <cfRule type="expression" dxfId="84" priority="246">
      <formula>$N1="2958465"</formula>
    </cfRule>
  </conditionalFormatting>
  <dataValidations count="1">
    <dataValidation type="list" allowBlank="1" showInputMessage="1" showErrorMessage="1" sqref="H5:H39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Settings!$C$8:$C$9</xm:f>
          </x14:formula1>
          <xm:sqref>AA5:AB39 Y5:Y39</xm:sqref>
        </x14:dataValidation>
        <x14:dataValidation type="list" allowBlank="1" showInputMessage="1" showErrorMessage="1" xr:uid="{E1679AD8-DCC1-4083-9766-C5587B82777C}">
          <x14:formula1>
            <xm:f>Settings!$C$9:$C$11</xm:f>
          </x14:formula1>
          <xm:sqref>Z5:Z39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1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210</v>
      </c>
      <c r="B2" t="s">
        <v>132</v>
      </c>
      <c r="C2" t="s">
        <v>132</v>
      </c>
      <c r="D2" t="s">
        <v>132</v>
      </c>
      <c r="E2" t="s">
        <v>132</v>
      </c>
      <c r="F2" t="s">
        <v>132</v>
      </c>
      <c r="G2" t="s">
        <v>132</v>
      </c>
      <c r="H2" t="s">
        <v>132</v>
      </c>
      <c r="I2" t="s">
        <v>132</v>
      </c>
      <c r="J2" t="s">
        <v>132</v>
      </c>
      <c r="K2" t="s">
        <v>132</v>
      </c>
      <c r="L2" t="s">
        <v>132</v>
      </c>
    </row>
    <row r="3" spans="1:12" x14ac:dyDescent="0.25">
      <c r="A3" t="s">
        <v>61</v>
      </c>
      <c r="B3" t="s">
        <v>146</v>
      </c>
      <c r="C3" t="s">
        <v>147</v>
      </c>
      <c r="D3" t="s">
        <v>148</v>
      </c>
      <c r="E3" t="s">
        <v>162</v>
      </c>
      <c r="F3" t="s">
        <v>163</v>
      </c>
      <c r="G3" t="s">
        <v>164</v>
      </c>
      <c r="H3" t="s">
        <v>132</v>
      </c>
      <c r="I3" t="s">
        <v>165</v>
      </c>
      <c r="J3" t="s">
        <v>153</v>
      </c>
      <c r="K3" t="s">
        <v>107</v>
      </c>
      <c r="L3" t="s">
        <v>168</v>
      </c>
    </row>
    <row r="4" spans="1:12" x14ac:dyDescent="0.25">
      <c r="A4" t="s">
        <v>116</v>
      </c>
      <c r="B4" t="s">
        <v>146</v>
      </c>
      <c r="C4" t="s">
        <v>169</v>
      </c>
      <c r="D4" t="s">
        <v>170</v>
      </c>
      <c r="E4" t="s">
        <v>171</v>
      </c>
      <c r="F4" t="s">
        <v>172</v>
      </c>
      <c r="G4" t="s">
        <v>173</v>
      </c>
      <c r="H4" t="s">
        <v>132</v>
      </c>
      <c r="I4" t="s">
        <v>174</v>
      </c>
      <c r="J4" t="s">
        <v>175</v>
      </c>
      <c r="K4" t="s">
        <v>108</v>
      </c>
      <c r="L4" t="s">
        <v>176</v>
      </c>
    </row>
    <row r="5" spans="1:12" x14ac:dyDescent="0.25">
      <c r="A5" t="s">
        <v>62</v>
      </c>
      <c r="B5" t="s">
        <v>146</v>
      </c>
      <c r="C5" t="s">
        <v>147</v>
      </c>
      <c r="D5" t="s">
        <v>148</v>
      </c>
      <c r="E5" t="s">
        <v>162</v>
      </c>
      <c r="F5" t="s">
        <v>163</v>
      </c>
      <c r="G5" t="s">
        <v>164</v>
      </c>
      <c r="H5" t="s">
        <v>132</v>
      </c>
      <c r="I5" t="s">
        <v>165</v>
      </c>
      <c r="J5" t="s">
        <v>153</v>
      </c>
      <c r="K5" t="s">
        <v>107</v>
      </c>
      <c r="L5" t="s">
        <v>166</v>
      </c>
    </row>
    <row r="6" spans="1:12" x14ac:dyDescent="0.25">
      <c r="A6" t="s">
        <v>117</v>
      </c>
      <c r="B6" t="s">
        <v>146</v>
      </c>
      <c r="C6" t="s">
        <v>147</v>
      </c>
      <c r="D6" t="s">
        <v>148</v>
      </c>
      <c r="E6" t="s">
        <v>149</v>
      </c>
      <c r="F6" t="s">
        <v>150</v>
      </c>
      <c r="G6" t="s">
        <v>151</v>
      </c>
      <c r="H6" t="s">
        <v>132</v>
      </c>
      <c r="I6" t="s">
        <v>152</v>
      </c>
      <c r="J6" t="s">
        <v>153</v>
      </c>
      <c r="K6" t="s">
        <v>107</v>
      </c>
      <c r="L6" t="s">
        <v>154</v>
      </c>
    </row>
    <row r="7" spans="1:12" x14ac:dyDescent="0.25">
      <c r="A7" t="s">
        <v>30</v>
      </c>
      <c r="B7" t="s">
        <v>146</v>
      </c>
      <c r="C7" t="s">
        <v>147</v>
      </c>
      <c r="D7" t="s">
        <v>148</v>
      </c>
      <c r="E7" t="s">
        <v>149</v>
      </c>
      <c r="F7" t="s">
        <v>150</v>
      </c>
      <c r="G7" t="s">
        <v>151</v>
      </c>
      <c r="H7" t="s">
        <v>132</v>
      </c>
      <c r="I7" t="s">
        <v>152</v>
      </c>
      <c r="J7" t="s">
        <v>153</v>
      </c>
      <c r="K7" t="s">
        <v>107</v>
      </c>
      <c r="L7" t="s">
        <v>167</v>
      </c>
    </row>
    <row r="8" spans="1:12" x14ac:dyDescent="0.25">
      <c r="A8" t="s">
        <v>118</v>
      </c>
      <c r="B8" t="s">
        <v>146</v>
      </c>
      <c r="C8" t="s">
        <v>147</v>
      </c>
      <c r="D8" t="s">
        <v>148</v>
      </c>
      <c r="E8" t="s">
        <v>149</v>
      </c>
      <c r="F8" t="s">
        <v>150</v>
      </c>
      <c r="G8" t="s">
        <v>151</v>
      </c>
      <c r="H8" t="s">
        <v>132</v>
      </c>
      <c r="I8" t="s">
        <v>152</v>
      </c>
      <c r="J8" t="s">
        <v>153</v>
      </c>
      <c r="K8" t="s">
        <v>107</v>
      </c>
      <c r="L8" t="s">
        <v>177</v>
      </c>
    </row>
    <row r="9" spans="1:12" x14ac:dyDescent="0.25">
      <c r="A9" t="s">
        <v>119</v>
      </c>
      <c r="B9" t="s">
        <v>146</v>
      </c>
      <c r="C9" t="s">
        <v>147</v>
      </c>
      <c r="D9" t="s">
        <v>148</v>
      </c>
      <c r="E9" t="s">
        <v>162</v>
      </c>
      <c r="F9" t="s">
        <v>163</v>
      </c>
      <c r="G9" t="s">
        <v>164</v>
      </c>
      <c r="H9" t="s">
        <v>132</v>
      </c>
      <c r="I9" t="s">
        <v>165</v>
      </c>
      <c r="J9" t="s">
        <v>153</v>
      </c>
      <c r="K9" t="s">
        <v>107</v>
      </c>
      <c r="L9" t="s">
        <v>178</v>
      </c>
    </row>
    <row r="10" spans="1:12" x14ac:dyDescent="0.25">
      <c r="A10" t="s">
        <v>120</v>
      </c>
      <c r="B10" t="s">
        <v>146</v>
      </c>
      <c r="C10" t="s">
        <v>147</v>
      </c>
      <c r="D10" t="s">
        <v>148</v>
      </c>
      <c r="E10" t="s">
        <v>179</v>
      </c>
      <c r="F10" t="s">
        <v>163</v>
      </c>
      <c r="G10" t="s">
        <v>164</v>
      </c>
      <c r="H10" t="s">
        <v>132</v>
      </c>
      <c r="I10" t="s">
        <v>165</v>
      </c>
      <c r="J10" t="s">
        <v>153</v>
      </c>
      <c r="K10" t="s">
        <v>107</v>
      </c>
      <c r="L10" t="s">
        <v>180</v>
      </c>
    </row>
    <row r="11" spans="1:12" x14ac:dyDescent="0.25">
      <c r="A11" t="s">
        <v>121</v>
      </c>
      <c r="B11" t="s">
        <v>146</v>
      </c>
      <c r="C11" t="s">
        <v>147</v>
      </c>
      <c r="D11" t="s">
        <v>148</v>
      </c>
      <c r="E11" t="s">
        <v>162</v>
      </c>
      <c r="F11" t="s">
        <v>163</v>
      </c>
      <c r="G11" t="s">
        <v>164</v>
      </c>
      <c r="H11" t="s">
        <v>132</v>
      </c>
      <c r="I11" t="s">
        <v>165</v>
      </c>
      <c r="J11" t="s">
        <v>153</v>
      </c>
      <c r="K11" t="s">
        <v>107</v>
      </c>
      <c r="L11" t="s">
        <v>181</v>
      </c>
    </row>
    <row r="12" spans="1:12" x14ac:dyDescent="0.25">
      <c r="A12" t="s">
        <v>59</v>
      </c>
      <c r="B12" t="s">
        <v>146</v>
      </c>
      <c r="C12" t="s">
        <v>155</v>
      </c>
      <c r="D12" t="s">
        <v>156</v>
      </c>
      <c r="E12" t="s">
        <v>157</v>
      </c>
      <c r="F12" t="s">
        <v>149</v>
      </c>
      <c r="G12" t="s">
        <v>158</v>
      </c>
      <c r="H12" t="s">
        <v>132</v>
      </c>
      <c r="I12" t="s">
        <v>159</v>
      </c>
      <c r="J12" t="s">
        <v>160</v>
      </c>
      <c r="K12" t="s">
        <v>107</v>
      </c>
      <c r="L12" t="s">
        <v>161</v>
      </c>
    </row>
    <row r="13" spans="1:12" x14ac:dyDescent="0.25">
      <c r="A13" t="s">
        <v>122</v>
      </c>
      <c r="B13" t="s">
        <v>146</v>
      </c>
      <c r="C13" t="s">
        <v>155</v>
      </c>
      <c r="D13" t="s">
        <v>156</v>
      </c>
      <c r="E13" t="s">
        <v>157</v>
      </c>
      <c r="F13" t="s">
        <v>149</v>
      </c>
      <c r="G13" t="s">
        <v>158</v>
      </c>
      <c r="H13" t="s">
        <v>132</v>
      </c>
      <c r="I13" t="s">
        <v>159</v>
      </c>
      <c r="J13" t="s">
        <v>160</v>
      </c>
      <c r="K13" t="s">
        <v>107</v>
      </c>
      <c r="L13" t="s">
        <v>182</v>
      </c>
    </row>
    <row r="14" spans="1:12" x14ac:dyDescent="0.25">
      <c r="A14" t="s">
        <v>124</v>
      </c>
      <c r="B14" t="s">
        <v>146</v>
      </c>
      <c r="C14" t="s">
        <v>191</v>
      </c>
      <c r="D14" t="s">
        <v>200</v>
      </c>
      <c r="E14" t="s">
        <v>205</v>
      </c>
      <c r="F14" t="s">
        <v>192</v>
      </c>
      <c r="G14" t="s">
        <v>211</v>
      </c>
      <c r="H14" t="s">
        <v>132</v>
      </c>
      <c r="I14" t="s">
        <v>194</v>
      </c>
      <c r="J14" t="s">
        <v>153</v>
      </c>
      <c r="K14" t="s">
        <v>107</v>
      </c>
      <c r="L14" t="s">
        <v>195</v>
      </c>
    </row>
    <row r="15" spans="1:12" x14ac:dyDescent="0.25">
      <c r="A15" t="s">
        <v>126</v>
      </c>
      <c r="B15" t="s">
        <v>146</v>
      </c>
      <c r="C15" t="s">
        <v>183</v>
      </c>
      <c r="D15" t="s">
        <v>184</v>
      </c>
      <c r="E15" t="s">
        <v>185</v>
      </c>
      <c r="F15" t="s">
        <v>186</v>
      </c>
      <c r="G15" t="s">
        <v>187</v>
      </c>
      <c r="H15" t="s">
        <v>188</v>
      </c>
      <c r="I15" t="s">
        <v>189</v>
      </c>
      <c r="J15" t="s">
        <v>153</v>
      </c>
      <c r="K15" t="s">
        <v>107</v>
      </c>
      <c r="L15" t="s">
        <v>190</v>
      </c>
    </row>
    <row r="16" spans="1:12" x14ac:dyDescent="0.25">
      <c r="A16" t="s">
        <v>125</v>
      </c>
      <c r="B16" t="s">
        <v>146</v>
      </c>
      <c r="C16" t="s">
        <v>191</v>
      </c>
      <c r="D16" t="s">
        <v>200</v>
      </c>
      <c r="E16" t="s">
        <v>205</v>
      </c>
      <c r="F16" t="s">
        <v>192</v>
      </c>
      <c r="G16" t="s">
        <v>211</v>
      </c>
      <c r="H16" t="s">
        <v>132</v>
      </c>
      <c r="I16" t="s">
        <v>194</v>
      </c>
      <c r="J16" t="s">
        <v>153</v>
      </c>
      <c r="K16" t="s">
        <v>107</v>
      </c>
      <c r="L16" t="s">
        <v>196</v>
      </c>
    </row>
    <row r="17" spans="1:12" x14ac:dyDescent="0.25">
      <c r="A17" t="s">
        <v>127</v>
      </c>
      <c r="B17" t="s">
        <v>146</v>
      </c>
      <c r="C17" t="s">
        <v>183</v>
      </c>
      <c r="D17" t="s">
        <v>184</v>
      </c>
      <c r="E17" t="s">
        <v>185</v>
      </c>
      <c r="F17" t="s">
        <v>186</v>
      </c>
      <c r="G17" t="s">
        <v>187</v>
      </c>
      <c r="H17" t="s">
        <v>188</v>
      </c>
      <c r="I17" t="s">
        <v>189</v>
      </c>
      <c r="J17" t="s">
        <v>153</v>
      </c>
      <c r="K17" t="s">
        <v>107</v>
      </c>
      <c r="L17" t="s">
        <v>198</v>
      </c>
    </row>
    <row r="18" spans="1:12" x14ac:dyDescent="0.25">
      <c r="A18" t="s">
        <v>123</v>
      </c>
      <c r="B18" t="s">
        <v>146</v>
      </c>
      <c r="C18" t="s">
        <v>191</v>
      </c>
      <c r="D18" t="s">
        <v>200</v>
      </c>
      <c r="E18" t="s">
        <v>205</v>
      </c>
      <c r="F18" t="s">
        <v>192</v>
      </c>
      <c r="G18" t="s">
        <v>211</v>
      </c>
      <c r="H18" t="s">
        <v>132</v>
      </c>
      <c r="I18" t="s">
        <v>194</v>
      </c>
      <c r="J18" t="s">
        <v>153</v>
      </c>
      <c r="K18" t="s">
        <v>107</v>
      </c>
      <c r="L18" t="s">
        <v>206</v>
      </c>
    </row>
    <row r="19" spans="1:12" x14ac:dyDescent="0.25">
      <c r="A19" t="s">
        <v>130</v>
      </c>
      <c r="B19" t="s">
        <v>146</v>
      </c>
      <c r="C19" t="s">
        <v>191</v>
      </c>
      <c r="D19" t="s">
        <v>200</v>
      </c>
      <c r="E19" t="s">
        <v>201</v>
      </c>
      <c r="F19" t="s">
        <v>202</v>
      </c>
      <c r="G19" t="s">
        <v>193</v>
      </c>
      <c r="H19" t="s">
        <v>132</v>
      </c>
      <c r="I19" t="s">
        <v>203</v>
      </c>
      <c r="J19" t="s">
        <v>153</v>
      </c>
      <c r="K19" t="s">
        <v>107</v>
      </c>
      <c r="L19" t="s">
        <v>204</v>
      </c>
    </row>
    <row r="20" spans="1:12" x14ac:dyDescent="0.25">
      <c r="A20" t="s">
        <v>128</v>
      </c>
      <c r="B20" t="s">
        <v>146</v>
      </c>
      <c r="C20" t="s">
        <v>183</v>
      </c>
      <c r="D20" t="s">
        <v>184</v>
      </c>
      <c r="E20" t="s">
        <v>185</v>
      </c>
      <c r="F20" t="s">
        <v>186</v>
      </c>
      <c r="G20" t="s">
        <v>187</v>
      </c>
      <c r="H20" t="s">
        <v>188</v>
      </c>
      <c r="I20" t="s">
        <v>189</v>
      </c>
      <c r="J20" t="s">
        <v>153</v>
      </c>
      <c r="K20" t="s">
        <v>107</v>
      </c>
      <c r="L20" t="s">
        <v>197</v>
      </c>
    </row>
    <row r="21" spans="1:12" x14ac:dyDescent="0.25">
      <c r="A21" t="s">
        <v>129</v>
      </c>
      <c r="B21" t="s">
        <v>146</v>
      </c>
      <c r="C21" t="s">
        <v>183</v>
      </c>
      <c r="D21" t="s">
        <v>184</v>
      </c>
      <c r="E21" t="s">
        <v>185</v>
      </c>
      <c r="F21" t="s">
        <v>186</v>
      </c>
      <c r="G21" t="s">
        <v>187</v>
      </c>
      <c r="H21" t="s">
        <v>188</v>
      </c>
      <c r="I21" t="s">
        <v>189</v>
      </c>
      <c r="J21" t="s">
        <v>153</v>
      </c>
      <c r="K21" t="s">
        <v>107</v>
      </c>
      <c r="L21" t="s">
        <v>199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E17" sqref="E17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133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133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131</v>
      </c>
      <c r="F4" t="s">
        <v>107</v>
      </c>
      <c r="G4" t="s">
        <v>133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133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133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133</v>
      </c>
    </row>
    <row r="8" spans="1:7" x14ac:dyDescent="0.25">
      <c r="A8" t="s">
        <v>212</v>
      </c>
      <c r="B8" t="s">
        <v>213</v>
      </c>
      <c r="C8" t="s">
        <v>214</v>
      </c>
      <c r="D8" t="s">
        <v>213</v>
      </c>
      <c r="E8" t="s">
        <v>114</v>
      </c>
      <c r="F8" t="s">
        <v>107</v>
      </c>
      <c r="G8" t="s">
        <v>215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8"/>
  <sheetViews>
    <sheetView workbookViewId="0">
      <selection activeCell="F23" sqref="F23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90" t="s">
        <v>94</v>
      </c>
      <c r="C2" s="91"/>
      <c r="D2" s="91"/>
      <c r="E2" s="91"/>
      <c r="F2" s="91"/>
      <c r="G2" s="91"/>
      <c r="H2" s="91"/>
      <c r="I2" s="91"/>
      <c r="J2" s="91"/>
      <c r="K2" s="91"/>
      <c r="L2" s="92"/>
    </row>
    <row r="3" spans="2:12" x14ac:dyDescent="0.25">
      <c r="B3" s="68" t="s">
        <v>95</v>
      </c>
      <c r="C3" s="86" t="s">
        <v>97</v>
      </c>
      <c r="D3" s="86"/>
      <c r="E3" s="86"/>
      <c r="F3" s="86"/>
      <c r="G3" s="86"/>
      <c r="H3" s="86"/>
      <c r="I3" s="86"/>
      <c r="J3" s="86"/>
      <c r="K3" s="86"/>
      <c r="L3" s="87"/>
    </row>
    <row r="4" spans="2:12" x14ac:dyDescent="0.25">
      <c r="B4" s="77" t="s">
        <v>96</v>
      </c>
      <c r="C4" s="98" t="s">
        <v>98</v>
      </c>
      <c r="D4" s="98"/>
      <c r="E4" s="98"/>
      <c r="F4" s="98"/>
      <c r="G4" s="98"/>
      <c r="H4" s="98"/>
      <c r="I4" s="98"/>
      <c r="J4" s="98"/>
      <c r="K4" s="98"/>
      <c r="L4" s="99"/>
    </row>
    <row r="5" spans="2:12" ht="15.75" thickBot="1" x14ac:dyDescent="0.3">
      <c r="B5" s="69" t="s">
        <v>216</v>
      </c>
      <c r="C5" s="88" t="s">
        <v>217</v>
      </c>
      <c r="D5" s="88"/>
      <c r="E5" s="88"/>
      <c r="F5" s="88"/>
      <c r="G5" s="88"/>
      <c r="H5" s="88"/>
      <c r="I5" s="88"/>
      <c r="J5" s="88"/>
      <c r="K5" s="88"/>
      <c r="L5" s="89"/>
    </row>
    <row r="6" spans="2:12" ht="15.75" thickBot="1" x14ac:dyDescent="0.3"/>
    <row r="7" spans="2:12" ht="15.75" thickBot="1" x14ac:dyDescent="0.3">
      <c r="B7" s="95" t="s">
        <v>79</v>
      </c>
      <c r="C7" s="96"/>
      <c r="D7" s="96"/>
      <c r="E7" s="96"/>
      <c r="F7" s="96"/>
      <c r="G7" s="97"/>
    </row>
    <row r="8" spans="2:12" x14ac:dyDescent="0.25">
      <c r="B8" s="70" t="s">
        <v>16</v>
      </c>
      <c r="C8" s="71" t="s">
        <v>73</v>
      </c>
      <c r="D8" s="71" t="s">
        <v>74</v>
      </c>
      <c r="E8" s="71"/>
      <c r="F8" s="71"/>
      <c r="G8" s="72"/>
    </row>
    <row r="9" spans="2:12" x14ac:dyDescent="0.25">
      <c r="B9" s="68" t="s">
        <v>15</v>
      </c>
      <c r="C9" s="73" t="s">
        <v>75</v>
      </c>
      <c r="D9" s="73" t="s">
        <v>76</v>
      </c>
      <c r="E9" s="73" t="s">
        <v>74</v>
      </c>
      <c r="F9" s="73"/>
      <c r="G9" s="74"/>
    </row>
    <row r="10" spans="2:12" x14ac:dyDescent="0.25">
      <c r="B10" s="68" t="s">
        <v>70</v>
      </c>
      <c r="C10" s="73" t="s">
        <v>73</v>
      </c>
      <c r="D10" s="73" t="s">
        <v>74</v>
      </c>
      <c r="E10" s="73"/>
      <c r="F10" s="73"/>
      <c r="G10" s="74"/>
    </row>
    <row r="11" spans="2:12" ht="15.75" thickBot="1" x14ac:dyDescent="0.3">
      <c r="B11" s="69" t="s">
        <v>72</v>
      </c>
      <c r="C11" s="75" t="s">
        <v>73</v>
      </c>
      <c r="D11" s="75" t="s">
        <v>74</v>
      </c>
      <c r="E11" s="75"/>
      <c r="F11" s="75"/>
      <c r="G11" s="76"/>
    </row>
    <row r="13" spans="2:12" ht="15.75" thickBot="1" x14ac:dyDescent="0.3"/>
    <row r="14" spans="2:12" ht="15.75" thickBot="1" x14ac:dyDescent="0.3">
      <c r="B14" s="95" t="s">
        <v>134</v>
      </c>
      <c r="C14" s="96"/>
      <c r="D14" s="96" t="s">
        <v>135</v>
      </c>
      <c r="E14" s="97"/>
    </row>
    <row r="15" spans="2:12" x14ac:dyDescent="0.25">
      <c r="B15" s="93" t="s">
        <v>136</v>
      </c>
      <c r="C15" s="84"/>
      <c r="D15" s="100"/>
      <c r="E15" s="101"/>
    </row>
    <row r="16" spans="2:12" x14ac:dyDescent="0.25">
      <c r="B16" s="94" t="s">
        <v>137</v>
      </c>
      <c r="C16" s="86"/>
      <c r="D16" s="84"/>
      <c r="E16" s="85"/>
    </row>
    <row r="17" spans="2:5" x14ac:dyDescent="0.25">
      <c r="B17" s="94" t="s">
        <v>138</v>
      </c>
      <c r="C17" s="86"/>
      <c r="D17" s="86"/>
      <c r="E17" s="87"/>
    </row>
    <row r="18" spans="2:5" x14ac:dyDescent="0.25">
      <c r="B18" s="94" t="s">
        <v>139</v>
      </c>
      <c r="C18" s="86"/>
      <c r="D18" s="86"/>
      <c r="E18" s="87"/>
    </row>
    <row r="19" spans="2:5" x14ac:dyDescent="0.25">
      <c r="B19" s="94" t="s">
        <v>140</v>
      </c>
      <c r="C19" s="86"/>
      <c r="D19" s="86"/>
      <c r="E19" s="87"/>
    </row>
    <row r="20" spans="2:5" x14ac:dyDescent="0.25">
      <c r="B20" s="94" t="s">
        <v>141</v>
      </c>
      <c r="C20" s="86"/>
      <c r="D20" s="86"/>
      <c r="E20" s="87"/>
    </row>
    <row r="21" spans="2:5" x14ac:dyDescent="0.25">
      <c r="B21" s="94" t="s">
        <v>142</v>
      </c>
      <c r="C21" s="86"/>
      <c r="D21" s="86"/>
      <c r="E21" s="87"/>
    </row>
    <row r="22" spans="2:5" x14ac:dyDescent="0.25">
      <c r="B22" s="94" t="s">
        <v>209</v>
      </c>
      <c r="C22" s="86"/>
      <c r="D22" s="86"/>
      <c r="E22" s="87"/>
    </row>
    <row r="23" spans="2:5" x14ac:dyDescent="0.25">
      <c r="B23" s="94" t="s">
        <v>143</v>
      </c>
      <c r="C23" s="86"/>
      <c r="D23" s="86"/>
      <c r="E23" s="87"/>
    </row>
    <row r="24" spans="2:5" x14ac:dyDescent="0.25">
      <c r="B24" s="94" t="s">
        <v>207</v>
      </c>
      <c r="C24" s="86"/>
      <c r="D24" s="86"/>
      <c r="E24" s="87"/>
    </row>
    <row r="25" spans="2:5" x14ac:dyDescent="0.25">
      <c r="B25" s="94" t="s">
        <v>208</v>
      </c>
      <c r="C25" s="86"/>
      <c r="D25" s="86"/>
      <c r="E25" s="87"/>
    </row>
    <row r="26" spans="2:5" x14ac:dyDescent="0.25">
      <c r="B26" s="94" t="s">
        <v>33</v>
      </c>
      <c r="C26" s="86"/>
      <c r="D26" s="86"/>
      <c r="E26" s="87"/>
    </row>
    <row r="27" spans="2:5" x14ac:dyDescent="0.25">
      <c r="B27" s="94" t="s">
        <v>144</v>
      </c>
      <c r="C27" s="86"/>
      <c r="D27" s="86"/>
      <c r="E27" s="87"/>
    </row>
    <row r="28" spans="2:5" ht="15.75" thickBot="1" x14ac:dyDescent="0.3">
      <c r="B28" s="102" t="s">
        <v>145</v>
      </c>
      <c r="C28" s="88"/>
      <c r="D28" s="88"/>
      <c r="E28" s="89"/>
    </row>
  </sheetData>
  <mergeCells count="35">
    <mergeCell ref="D23:E23"/>
    <mergeCell ref="D24:E24"/>
    <mergeCell ref="D25:E25"/>
    <mergeCell ref="B21:C21"/>
    <mergeCell ref="B22:C22"/>
    <mergeCell ref="B23:C23"/>
    <mergeCell ref="B24:C24"/>
    <mergeCell ref="B25:C25"/>
    <mergeCell ref="D26:E26"/>
    <mergeCell ref="D27:E27"/>
    <mergeCell ref="D28:E28"/>
    <mergeCell ref="B26:C26"/>
    <mergeCell ref="B27:C27"/>
    <mergeCell ref="B28:C28"/>
    <mergeCell ref="B2:L2"/>
    <mergeCell ref="B15:C15"/>
    <mergeCell ref="B18:C18"/>
    <mergeCell ref="B19:C19"/>
    <mergeCell ref="B20:C20"/>
    <mergeCell ref="B7:G7"/>
    <mergeCell ref="C3:L3"/>
    <mergeCell ref="C4:L4"/>
    <mergeCell ref="D18:E18"/>
    <mergeCell ref="D19:E19"/>
    <mergeCell ref="D20:E20"/>
    <mergeCell ref="B14:C14"/>
    <mergeCell ref="D14:E14"/>
    <mergeCell ref="D15:E15"/>
    <mergeCell ref="B16:C16"/>
    <mergeCell ref="B17:C17"/>
    <mergeCell ref="D16:E16"/>
    <mergeCell ref="D17:E17"/>
    <mergeCell ref="C5:L5"/>
    <mergeCell ref="D21:E21"/>
    <mergeCell ref="D22:E2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07" t="s">
        <v>31</v>
      </c>
      <c r="B1" s="106" t="s">
        <v>54</v>
      </c>
      <c r="C1" s="106" t="s">
        <v>52</v>
      </c>
      <c r="D1" s="106" t="s">
        <v>53</v>
      </c>
      <c r="E1" s="103" t="s">
        <v>8</v>
      </c>
      <c r="G1" s="113" t="s">
        <v>46</v>
      </c>
      <c r="H1" s="113"/>
      <c r="I1" s="113"/>
      <c r="K1" s="37">
        <f ca="1">TODAY()</f>
        <v>46025</v>
      </c>
    </row>
    <row r="2" spans="1:16" ht="16.5" customHeight="1" x14ac:dyDescent="0.25">
      <c r="A2" s="107"/>
      <c r="B2" s="106"/>
      <c r="C2" s="106"/>
      <c r="D2" s="106"/>
      <c r="E2" s="103"/>
      <c r="F2" s="4"/>
      <c r="G2" s="113"/>
      <c r="H2" s="113"/>
      <c r="I2" s="113"/>
    </row>
    <row r="3" spans="1:16" ht="16.5" customHeight="1" x14ac:dyDescent="1">
      <c r="A3" s="107"/>
      <c r="B3" s="109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3" s="109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09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10">
        <f ca="1">$C$3+$B$3+$D$3</f>
        <v>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07"/>
      <c r="B4" s="109"/>
      <c r="C4" s="109"/>
      <c r="D4" s="109"/>
      <c r="E4" s="110"/>
      <c r="F4" s="2"/>
      <c r="G4" s="19" t="e" cm="1" vm="1">
        <f t="array" ref="G4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#VALUE!</v>
      </c>
      <c r="H4" s="20"/>
      <c r="I4" s="29"/>
    </row>
    <row r="5" spans="1:16" ht="16.5" customHeight="1" x14ac:dyDescent="0.3">
      <c r="A5" s="107"/>
      <c r="B5" s="109"/>
      <c r="C5" s="109"/>
      <c r="D5" s="109"/>
      <c r="E5" s="110"/>
      <c r="F5" s="2"/>
      <c r="G5" s="21"/>
      <c r="H5" s="22"/>
      <c r="I5" s="30"/>
      <c r="L5" s="6"/>
      <c r="M5" s="6"/>
      <c r="N5" s="6"/>
    </row>
    <row r="6" spans="1:16" ht="16.5" customHeight="1" x14ac:dyDescent="0.3">
      <c r="A6" s="107"/>
      <c r="B6" s="109"/>
      <c r="C6" s="109"/>
      <c r="D6" s="109"/>
      <c r="E6" s="110"/>
      <c r="F6" s="2"/>
      <c r="G6" s="21"/>
      <c r="H6" s="22"/>
      <c r="I6" s="30"/>
      <c r="L6" s="6"/>
      <c r="M6" s="6"/>
      <c r="N6" s="6"/>
    </row>
    <row r="7" spans="1:16" ht="16.5" customHeight="1" x14ac:dyDescent="0.3">
      <c r="A7" s="107"/>
      <c r="B7" s="109"/>
      <c r="C7" s="109"/>
      <c r="D7" s="109"/>
      <c r="E7" s="110"/>
      <c r="F7" s="2"/>
      <c r="G7" s="21"/>
      <c r="H7" s="22"/>
      <c r="I7" s="30"/>
    </row>
    <row r="8" spans="1:16" ht="16.5" customHeight="1" x14ac:dyDescent="0.3">
      <c r="A8" s="107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0</v>
      </c>
      <c r="E8" s="13">
        <f ca="1">$B$8+$C$8+$D$8</f>
        <v>0</v>
      </c>
      <c r="F8" s="2"/>
      <c r="G8" s="21"/>
      <c r="H8" s="22"/>
      <c r="I8" s="30"/>
    </row>
    <row r="9" spans="1:16" ht="16.5" customHeight="1" x14ac:dyDescent="0.3">
      <c r="A9" s="107"/>
      <c r="B9" s="13"/>
      <c r="C9" s="13"/>
      <c r="D9" s="13"/>
      <c r="E9" s="13"/>
      <c r="F9" s="2"/>
      <c r="G9" s="21"/>
      <c r="H9" s="22"/>
      <c r="I9" s="30"/>
    </row>
    <row r="10" spans="1:16" s="3" customFormat="1" ht="16.5" customHeight="1" x14ac:dyDescent="0.3">
      <c r="A10" s="14"/>
      <c r="B10" s="14"/>
      <c r="C10" s="14"/>
      <c r="D10" s="14"/>
      <c r="E10" s="14"/>
      <c r="G10" s="21"/>
      <c r="H10" s="22"/>
      <c r="I10" s="30"/>
      <c r="J10"/>
      <c r="K10" s="6"/>
      <c r="L10"/>
      <c r="M10"/>
      <c r="N10"/>
    </row>
    <row r="11" spans="1:16" s="3" customFormat="1" ht="16.5" customHeight="1" x14ac:dyDescent="0.3">
      <c r="A11" s="108" t="s">
        <v>34</v>
      </c>
      <c r="B11" s="106" t="s">
        <v>4</v>
      </c>
      <c r="C11" s="106" t="s">
        <v>57</v>
      </c>
      <c r="D11" s="106" t="s">
        <v>32</v>
      </c>
      <c r="E11" s="103" t="s">
        <v>8</v>
      </c>
      <c r="G11" s="21"/>
      <c r="H11" s="22"/>
      <c r="I11" s="30"/>
      <c r="J11"/>
      <c r="K11" s="6"/>
      <c r="L11"/>
      <c r="M11"/>
      <c r="N11"/>
    </row>
    <row r="12" spans="1:16" ht="16.5" customHeight="1" x14ac:dyDescent="0.3">
      <c r="A12" s="108"/>
      <c r="B12" s="106"/>
      <c r="C12" s="106"/>
      <c r="D12" s="106"/>
      <c r="E12" s="103"/>
      <c r="G12" s="21"/>
      <c r="H12" s="22"/>
      <c r="I12" s="30"/>
    </row>
    <row r="13" spans="1:16" ht="16.5" customHeight="1" x14ac:dyDescent="0.3">
      <c r="A13" s="108"/>
      <c r="B13" s="104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4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0</v>
      </c>
      <c r="D13" s="104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5">
        <f ca="1">$C$13+$B$13</f>
        <v>0</v>
      </c>
      <c r="G13" s="21"/>
      <c r="H13" s="22"/>
      <c r="I13" s="30"/>
      <c r="L13" s="6"/>
      <c r="M13" s="6"/>
      <c r="N13" s="6"/>
      <c r="O13" s="6"/>
      <c r="P13" s="6"/>
    </row>
    <row r="14" spans="1:16" ht="16.5" customHeight="1" x14ac:dyDescent="0.3">
      <c r="A14" s="108"/>
      <c r="B14" s="104"/>
      <c r="C14" s="104"/>
      <c r="D14" s="104"/>
      <c r="E14" s="105"/>
      <c r="G14" s="21"/>
      <c r="H14" s="22"/>
      <c r="I14" s="30"/>
      <c r="L14" s="6"/>
      <c r="M14" s="6"/>
      <c r="N14" s="6"/>
    </row>
    <row r="15" spans="1:16" ht="16.5" customHeight="1" x14ac:dyDescent="0.3">
      <c r="A15" s="108"/>
      <c r="B15" s="104"/>
      <c r="C15" s="104"/>
      <c r="D15" s="104"/>
      <c r="E15" s="105"/>
      <c r="G15" s="21"/>
      <c r="H15" s="22"/>
      <c r="I15" s="30"/>
    </row>
    <row r="16" spans="1:16" ht="16.5" customHeight="1" x14ac:dyDescent="0.3">
      <c r="A16" s="108"/>
      <c r="B16" s="104"/>
      <c r="C16" s="104"/>
      <c r="D16" s="104"/>
      <c r="E16" s="105"/>
      <c r="G16" s="21"/>
      <c r="H16" s="22"/>
      <c r="I16" s="30"/>
    </row>
    <row r="17" spans="1:16" ht="16.5" customHeight="1" x14ac:dyDescent="0.3">
      <c r="A17" s="108"/>
      <c r="B17" s="104"/>
      <c r="C17" s="104"/>
      <c r="D17" s="104"/>
      <c r="E17" s="105"/>
      <c r="G17" s="21"/>
      <c r="H17" s="22"/>
      <c r="I17" s="30"/>
    </row>
    <row r="18" spans="1:16" ht="16.5" customHeight="1" x14ac:dyDescent="0.3">
      <c r="A18" s="108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0</v>
      </c>
      <c r="G18" s="21"/>
      <c r="H18" s="22"/>
      <c r="I18" s="30"/>
    </row>
    <row r="19" spans="1:16" ht="16.5" customHeight="1" x14ac:dyDescent="0.3">
      <c r="A19" s="108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08" t="s">
        <v>35</v>
      </c>
      <c r="B21" s="106" t="s">
        <v>55</v>
      </c>
      <c r="C21" s="106" t="s">
        <v>56</v>
      </c>
      <c r="D21" s="106" t="s">
        <v>33</v>
      </c>
      <c r="E21" s="103" t="s">
        <v>8</v>
      </c>
      <c r="G21" s="21"/>
      <c r="H21" s="22"/>
      <c r="I21" s="30"/>
    </row>
    <row r="22" spans="1:16" ht="16.5" customHeight="1" x14ac:dyDescent="0.25">
      <c r="A22" s="108"/>
      <c r="B22" s="106"/>
      <c r="C22" s="106"/>
      <c r="D22" s="106"/>
      <c r="E22" s="103"/>
    </row>
    <row r="23" spans="1:16" ht="16.5" customHeight="1" x14ac:dyDescent="0.25">
      <c r="A23" s="108"/>
      <c r="B23" s="104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4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4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5">
        <f ca="1">$B$23+$C$23+$D$23</f>
        <v>0</v>
      </c>
    </row>
    <row r="24" spans="1:16" ht="16.5" customHeight="1" x14ac:dyDescent="0.25">
      <c r="A24" s="108"/>
      <c r="B24" s="104"/>
      <c r="C24" s="104"/>
      <c r="D24" s="104"/>
      <c r="E24" s="105"/>
    </row>
    <row r="25" spans="1:16" ht="16.5" customHeight="1" x14ac:dyDescent="0.25">
      <c r="A25" s="108"/>
      <c r="B25" s="104"/>
      <c r="C25" s="104"/>
      <c r="D25" s="104"/>
      <c r="E25" s="105"/>
    </row>
    <row r="26" spans="1:16" ht="16.5" customHeight="1" x14ac:dyDescent="0.25">
      <c r="A26" s="108"/>
      <c r="B26" s="104"/>
      <c r="C26" s="104"/>
      <c r="D26" s="104"/>
      <c r="E26" s="105"/>
      <c r="I26" s="11"/>
      <c r="L26" s="6"/>
      <c r="M26" s="6"/>
      <c r="N26" s="6"/>
    </row>
    <row r="27" spans="1:16" ht="16.5" customHeight="1" x14ac:dyDescent="0.25">
      <c r="A27" s="108"/>
      <c r="B27" s="104"/>
      <c r="C27" s="104"/>
      <c r="D27" s="104"/>
      <c r="E27" s="105"/>
      <c r="L27" s="6"/>
      <c r="M27" s="6"/>
      <c r="N27" s="6"/>
    </row>
    <row r="28" spans="1:16" ht="16.5" customHeight="1" x14ac:dyDescent="0.25">
      <c r="A28" s="108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08"/>
      <c r="B29" s="14"/>
      <c r="C29" s="14"/>
      <c r="D29" s="14"/>
      <c r="E29" s="14"/>
    </row>
    <row r="35" spans="1:5" ht="18.75" customHeight="1" x14ac:dyDescent="0.3">
      <c r="A35" s="111" t="s">
        <v>48</v>
      </c>
      <c r="B35" s="111"/>
      <c r="C35" s="111"/>
      <c r="D35" s="111"/>
      <c r="E35" s="111"/>
    </row>
    <row r="36" spans="1:5" ht="15" customHeight="1" x14ac:dyDescent="0.25">
      <c r="A36" s="23" t="e" cm="1" vm="1">
        <f t="array" ref="A36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#VALUE!</v>
      </c>
      <c r="B36" s="23"/>
      <c r="C36" s="23"/>
      <c r="D36" s="23"/>
      <c r="E36" s="23"/>
    </row>
    <row r="37" spans="1:5" ht="15" customHeight="1" x14ac:dyDescent="0.25">
      <c r="A37" s="24"/>
      <c r="B37" s="24"/>
      <c r="C37" s="24"/>
      <c r="D37" s="24"/>
      <c r="E37" s="24"/>
    </row>
    <row r="38" spans="1:5" ht="15" customHeight="1" x14ac:dyDescent="0.25">
      <c r="A38" s="24"/>
      <c r="B38" s="24"/>
      <c r="C38" s="24"/>
      <c r="D38" s="24"/>
      <c r="E38" s="24"/>
    </row>
    <row r="39" spans="1:5" ht="15" customHeight="1" x14ac:dyDescent="0.25">
      <c r="A39" s="24"/>
      <c r="B39" s="24"/>
      <c r="C39" s="24"/>
      <c r="D39" s="24"/>
      <c r="E39" s="24"/>
    </row>
    <row r="40" spans="1:5" ht="15" customHeight="1" x14ac:dyDescent="0.25">
      <c r="A40" s="24"/>
      <c r="B40" s="24"/>
      <c r="C40" s="24"/>
      <c r="D40" s="24"/>
      <c r="E40" s="24"/>
    </row>
    <row r="41" spans="1:5" ht="15" customHeight="1" x14ac:dyDescent="0.25">
      <c r="A41" s="24"/>
      <c r="B41" s="24"/>
      <c r="C41" s="24"/>
      <c r="D41" s="24"/>
      <c r="E41" s="24"/>
    </row>
    <row r="42" spans="1:5" ht="15" customHeight="1" x14ac:dyDescent="0.25">
      <c r="A42" s="24"/>
      <c r="B42" s="24"/>
      <c r="C42" s="24"/>
      <c r="D42" s="24"/>
      <c r="E42" s="24"/>
    </row>
    <row r="43" spans="1:5" x14ac:dyDescent="0.25">
      <c r="A43" s="24"/>
      <c r="B43" s="24"/>
      <c r="C43" s="24"/>
      <c r="D43" s="24"/>
      <c r="E43" s="24"/>
    </row>
    <row r="44" spans="1:5" x14ac:dyDescent="0.25">
      <c r="A44" s="24"/>
      <c r="B44" s="24"/>
      <c r="C44" s="24"/>
      <c r="D44" s="24"/>
      <c r="E44" s="24"/>
    </row>
    <row r="45" spans="1:5" x14ac:dyDescent="0.25">
      <c r="A45" s="24"/>
      <c r="B45" s="24"/>
      <c r="C45" s="24"/>
      <c r="D45" s="24"/>
      <c r="E45" s="24"/>
    </row>
    <row r="46" spans="1:5" x14ac:dyDescent="0.25">
      <c r="A46" s="24"/>
      <c r="B46" s="24"/>
      <c r="C46" s="24"/>
      <c r="D46" s="24"/>
      <c r="E46" s="24"/>
    </row>
    <row r="47" spans="1:5" x14ac:dyDescent="0.25">
      <c r="A47" s="24"/>
      <c r="B47" s="24"/>
      <c r="C47" s="24"/>
      <c r="D47" s="24"/>
      <c r="E47" s="24"/>
    </row>
    <row r="48" spans="1:5" x14ac:dyDescent="0.25">
      <c r="A48" s="24"/>
      <c r="B48" s="24"/>
      <c r="C48" s="24"/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12" t="s">
        <v>47</v>
      </c>
      <c r="I51" s="112"/>
      <c r="J51" s="112"/>
      <c r="K51" s="112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x14ac:dyDescent="0.25">
      <c r="H53" s="26" t="e" cm="1" vm="1">
        <f t="array" ref="H53">_xlfn.UNIQUE(_xlfn._xlws.FILTER(PurchaseList_Table[ETA MONTH], PurchaseList_Table[ETA MONTH]&lt;&gt;"" ))</f>
        <v>#VALUE!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0.00 MT</v>
      </c>
      <c r="K53" s="26" t="e" cm="1" vm="2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#VALUE!</v>
      </c>
    </row>
    <row r="54" spans="1:11" x14ac:dyDescent="0.25">
      <c r="H54" s="26"/>
      <c r="I54" s="26"/>
      <c r="J54" s="31"/>
      <c r="K54" s="26"/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12" t="s">
        <v>41</v>
      </c>
      <c r="I70" s="112"/>
      <c r="J70" s="112"/>
      <c r="K70" s="112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409.5" x14ac:dyDescent="0.25">
      <c r="H72" s="26" cm="1">
        <f t="array" ref="H72:K72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0</v>
      </c>
      <c r="I72" s="26">
        <v>0</v>
      </c>
      <c r="J72" s="27" t="str">
        <v>0 MT</v>
      </c>
      <c r="K72" s="26" t="str">
        <v xml:space="preserve">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</v>
      </c>
    </row>
    <row r="73" spans="8:11" x14ac:dyDescent="0.25">
      <c r="H73" s="26"/>
      <c r="I73" s="26"/>
      <c r="J73" s="31"/>
      <c r="K73" s="26"/>
    </row>
    <row r="74" spans="8:11" x14ac:dyDescent="0.25">
      <c r="H74" s="26"/>
      <c r="I74" s="26"/>
      <c r="J74" s="31"/>
      <c r="K74" s="26"/>
    </row>
    <row r="75" spans="8:11" x14ac:dyDescent="0.25">
      <c r="H75" s="26"/>
      <c r="I75" s="26"/>
      <c r="J75" s="31"/>
      <c r="K75" s="26"/>
    </row>
    <row r="76" spans="8:11" x14ac:dyDescent="0.25">
      <c r="H76" s="26"/>
      <c r="I76" s="26"/>
      <c r="J76" s="31"/>
      <c r="K76" s="26"/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Main Purchase List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2026-01-03T11:11:16Z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Version">
    <vt:lpwstr>1.4.0</vt:lpwstr>
  </property>
</Properties>
</file>